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ddick/Documents/GitHub/election-cartograms/newjersey-election-2025/"/>
    </mc:Choice>
  </mc:AlternateContent>
  <xr:revisionPtr revIDLastSave="0" documentId="13_ncr:1_{E76896CF-9CFC-D74D-B913-583DD5D71E88}" xr6:coauthVersionLast="47" xr6:coauthVersionMax="47" xr10:uidLastSave="{00000000-0000-0000-0000-000000000000}"/>
  <bookViews>
    <workbookView xWindow="14060" yWindow="1060" windowWidth="27640" windowHeight="15600" xr2:uid="{4C8CBF91-8C8A-3149-A51A-57206E4F1A87}"/>
  </bookViews>
  <sheets>
    <sheet name="Data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B3" i="2"/>
  <c r="C3" i="2"/>
  <c r="D3" i="2"/>
  <c r="A4" i="2"/>
  <c r="B4" i="2"/>
  <c r="C4" i="2"/>
  <c r="D4" i="2"/>
  <c r="A5" i="2"/>
  <c r="B5" i="2"/>
  <c r="C5" i="2"/>
  <c r="D5" i="2"/>
  <c r="A6" i="2"/>
  <c r="B6" i="2"/>
  <c r="C6" i="2"/>
  <c r="D6" i="2"/>
  <c r="A7" i="2"/>
  <c r="B7" i="2"/>
  <c r="C7" i="2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D2" i="2"/>
  <c r="C2" i="2"/>
  <c r="B2" i="2"/>
  <c r="A2" i="2"/>
</calcChain>
</file>

<file path=xl/sharedStrings.xml><?xml version="1.0" encoding="utf-8"?>
<sst xmlns="http://schemas.openxmlformats.org/spreadsheetml/2006/main" count="43" uniqueCount="36">
  <si>
    <t>County</t>
  </si>
  <si>
    <t>Mikie Sherrill</t>
  </si>
  <si>
    <t>Democratic</t>
  </si>
  <si>
    <t>Jack Ciattarelli</t>
  </si>
  <si>
    <t>Republican</t>
  </si>
  <si>
    <t>Various candidates</t>
  </si>
  <si>
    <t>Other parties</t>
  </si>
  <si>
    <t>Margin</t>
  </si>
  <si>
    <t>Total votes cast</t>
  </si>
  <si>
    <t>#</t>
  </si>
  <si>
    <t>%</t>
  </si>
  <si>
    <t>Atlantic</t>
  </si>
  <si>
    <t>Bergen</t>
  </si>
  <si>
    <t>Burlington</t>
  </si>
  <si>
    <t>Camden</t>
  </si>
  <si>
    <t>Cape May</t>
  </si>
  <si>
    <t>Cumberland</t>
  </si>
  <si>
    <t>Essex</t>
  </si>
  <si>
    <t>Gloucester</t>
  </si>
  <si>
    <t>Hudson</t>
  </si>
  <si>
    <t>Hunterdon</t>
  </si>
  <si>
    <t>Mercer</t>
  </si>
  <si>
    <t>Middlesex</t>
  </si>
  <si>
    <t>Monmouth</t>
  </si>
  <si>
    <t>Morris</t>
  </si>
  <si>
    <t>Ocean</t>
  </si>
  <si>
    <t>Passaic</t>
  </si>
  <si>
    <t>Salem</t>
  </si>
  <si>
    <t>Somerset</t>
  </si>
  <si>
    <t>Sussex</t>
  </si>
  <si>
    <t>Union</t>
  </si>
  <si>
    <t>Warren</t>
  </si>
  <si>
    <t>Totals</t>
  </si>
  <si>
    <t>Others</t>
  </si>
  <si>
    <t>Sherrill</t>
  </si>
  <si>
    <t>Ciattarelli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</si>
</sst>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rgb="FF202122"/>
      <name val="Arial"/>
      <family val="2"/>
    </font>
    <font>
      <sz val="16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1"/>
    <xf numFmtId="3" fontId="0" fillId="0" borderId="0" xfId="0" applyNumberFormat="1"/>
    <xf numFmtId="3" fontId="2" fillId="0" borderId="0" xfId="0" applyNumberFormat="1" applyFont="1"/>
    <xf numFmtId="10" fontId="2" fillId="0" borderId="0" xfId="0" applyNumberFormat="1" applyFont="1"/>
    <xf numFmtId="0" fontId="2" fillId="0" borderId="0" xfId="0" applyFont="1"/>
    <xf numFmtId="3" fontId="1" fillId="0" borderId="0" xfId="0" applyNumberFormat="1" applyFont="1"/>
    <xf numFmtId="10" fontId="1" fillId="0" borderId="0" xfId="0" applyNumberFormat="1" applyFont="1"/>
    <xf numFmtId="0" fontId="1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Gloucester_County,_New_Jersey" TargetMode="External"/><Relationship Id="rId13" Type="http://schemas.openxmlformats.org/officeDocument/2006/relationships/hyperlink" Target="https://en.wikipedia.org/wiki/Monmouth_County,_New_Jersey" TargetMode="External"/><Relationship Id="rId18" Type="http://schemas.openxmlformats.org/officeDocument/2006/relationships/hyperlink" Target="https://en.wikipedia.org/wiki/Somerset_County,_New_Jersey" TargetMode="External"/><Relationship Id="rId3" Type="http://schemas.openxmlformats.org/officeDocument/2006/relationships/hyperlink" Target="https://en.wikipedia.org/wiki/Burlington_County,_New_Jersey" TargetMode="External"/><Relationship Id="rId21" Type="http://schemas.openxmlformats.org/officeDocument/2006/relationships/hyperlink" Target="https://en.wikipedia.org/wiki/Warren_County,_New_Jersey" TargetMode="External"/><Relationship Id="rId7" Type="http://schemas.openxmlformats.org/officeDocument/2006/relationships/hyperlink" Target="https://en.wikipedia.org/wiki/Essex_County,_New_Jersey" TargetMode="External"/><Relationship Id="rId12" Type="http://schemas.openxmlformats.org/officeDocument/2006/relationships/hyperlink" Target="https://en.wikipedia.org/wiki/Middlesex_County,_New_Jersey" TargetMode="External"/><Relationship Id="rId17" Type="http://schemas.openxmlformats.org/officeDocument/2006/relationships/hyperlink" Target="https://en.wikipedia.org/wiki/Salem_County,_New_Jersey" TargetMode="External"/><Relationship Id="rId2" Type="http://schemas.openxmlformats.org/officeDocument/2006/relationships/hyperlink" Target="https://en.wikipedia.org/wiki/Bergen_County,_New_Jersey" TargetMode="External"/><Relationship Id="rId16" Type="http://schemas.openxmlformats.org/officeDocument/2006/relationships/hyperlink" Target="https://en.wikipedia.org/wiki/Passaic_County,_New_Jersey" TargetMode="External"/><Relationship Id="rId20" Type="http://schemas.openxmlformats.org/officeDocument/2006/relationships/hyperlink" Target="https://en.wikipedia.org/wiki/Union_County,_New_Jersey" TargetMode="External"/><Relationship Id="rId1" Type="http://schemas.openxmlformats.org/officeDocument/2006/relationships/hyperlink" Target="https://en.wikipedia.org/wiki/Atlantic_County,_New_Jersey" TargetMode="External"/><Relationship Id="rId6" Type="http://schemas.openxmlformats.org/officeDocument/2006/relationships/hyperlink" Target="https://en.wikipedia.org/wiki/Cumberland_County,_New_Jersey" TargetMode="External"/><Relationship Id="rId11" Type="http://schemas.openxmlformats.org/officeDocument/2006/relationships/hyperlink" Target="https://en.wikipedia.org/wiki/Mercer_County,_New_Jersey" TargetMode="External"/><Relationship Id="rId5" Type="http://schemas.openxmlformats.org/officeDocument/2006/relationships/hyperlink" Target="https://en.wikipedia.org/wiki/Cape_May_County,_New_Jersey" TargetMode="External"/><Relationship Id="rId15" Type="http://schemas.openxmlformats.org/officeDocument/2006/relationships/hyperlink" Target="https://en.wikipedia.org/wiki/Ocean_County,_New_Jersey" TargetMode="External"/><Relationship Id="rId10" Type="http://schemas.openxmlformats.org/officeDocument/2006/relationships/hyperlink" Target="https://en.wikipedia.org/wiki/Hunterdon_County,_New_Jersey" TargetMode="External"/><Relationship Id="rId19" Type="http://schemas.openxmlformats.org/officeDocument/2006/relationships/hyperlink" Target="https://en.wikipedia.org/wiki/Sussex_County,_New_Jersey" TargetMode="External"/><Relationship Id="rId4" Type="http://schemas.openxmlformats.org/officeDocument/2006/relationships/hyperlink" Target="https://en.wikipedia.org/wiki/Camden_County,_New_Jersey" TargetMode="External"/><Relationship Id="rId9" Type="http://schemas.openxmlformats.org/officeDocument/2006/relationships/hyperlink" Target="https://en.wikipedia.org/wiki/Hudson_County,_New_Jersey" TargetMode="External"/><Relationship Id="rId14" Type="http://schemas.openxmlformats.org/officeDocument/2006/relationships/hyperlink" Target="https://en.wikipedia.org/wiki/Morris_County,_New_Jers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4D22-73B9-6D4E-A8C4-DF426876CAC2}">
  <dimension ref="A1:D22"/>
  <sheetViews>
    <sheetView tabSelected="1" workbookViewId="0"/>
  </sheetViews>
  <sheetFormatPr baseColWidth="10" defaultRowHeight="16" x14ac:dyDescent="0.2"/>
  <sheetData>
    <row r="1" spans="1:4" x14ac:dyDescent="0.2">
      <c r="A1" s="10" t="s">
        <v>0</v>
      </c>
      <c r="B1" s="10" t="s">
        <v>34</v>
      </c>
      <c r="C1" s="10" t="s">
        <v>35</v>
      </c>
      <c r="D1" s="10" t="s">
        <v>33</v>
      </c>
    </row>
    <row r="2" spans="1:4" x14ac:dyDescent="0.2">
      <c r="A2" t="str">
        <f>Sheet1!A4</f>
        <v>Atlantic</v>
      </c>
      <c r="B2" s="3">
        <f>Sheet1!B4</f>
        <v>51150</v>
      </c>
      <c r="C2" s="3">
        <f>Sheet1!D4</f>
        <v>47592</v>
      </c>
      <c r="D2">
        <f>Sheet1!F4</f>
        <v>652</v>
      </c>
    </row>
    <row r="3" spans="1:4" x14ac:dyDescent="0.2">
      <c r="A3" t="str">
        <f>Sheet1!A5</f>
        <v>Bergen</v>
      </c>
      <c r="B3" s="3">
        <f>Sheet1!B5</f>
        <v>190461</v>
      </c>
      <c r="C3" s="3">
        <f>Sheet1!D5</f>
        <v>152682</v>
      </c>
      <c r="D3">
        <f>Sheet1!F5</f>
        <v>1518</v>
      </c>
    </row>
    <row r="4" spans="1:4" x14ac:dyDescent="0.2">
      <c r="A4" t="str">
        <f>Sheet1!A6</f>
        <v>Burlington</v>
      </c>
      <c r="B4" s="3">
        <f>Sheet1!B6</f>
        <v>116774</v>
      </c>
      <c r="C4" s="3">
        <f>Sheet1!D6</f>
        <v>75346</v>
      </c>
      <c r="D4">
        <f>Sheet1!F6</f>
        <v>986</v>
      </c>
    </row>
    <row r="5" spans="1:4" x14ac:dyDescent="0.2">
      <c r="A5" t="str">
        <f>Sheet1!A7</f>
        <v>Camden</v>
      </c>
      <c r="B5" s="3">
        <f>Sheet1!B7</f>
        <v>130693</v>
      </c>
      <c r="C5" s="3">
        <f>Sheet1!D7</f>
        <v>60107</v>
      </c>
      <c r="D5">
        <f>Sheet1!F7</f>
        <v>1180</v>
      </c>
    </row>
    <row r="6" spans="1:4" x14ac:dyDescent="0.2">
      <c r="A6" t="str">
        <f>Sheet1!A8</f>
        <v>Cape May</v>
      </c>
      <c r="B6" s="3">
        <f>Sheet1!B8</f>
        <v>18269</v>
      </c>
      <c r="C6" s="3">
        <f>Sheet1!D8</f>
        <v>25586</v>
      </c>
      <c r="D6">
        <f>Sheet1!F8</f>
        <v>214</v>
      </c>
    </row>
    <row r="7" spans="1:4" x14ac:dyDescent="0.2">
      <c r="A7" t="str">
        <f>Sheet1!A9</f>
        <v>Cumberland</v>
      </c>
      <c r="B7" s="3">
        <f>Sheet1!B9</f>
        <v>21348</v>
      </c>
      <c r="C7" s="3">
        <f>Sheet1!D9</f>
        <v>19272</v>
      </c>
      <c r="D7">
        <f>Sheet1!F9</f>
        <v>290</v>
      </c>
    </row>
    <row r="8" spans="1:4" x14ac:dyDescent="0.2">
      <c r="A8" t="str">
        <f>Sheet1!A10</f>
        <v>Essex</v>
      </c>
      <c r="B8" s="3">
        <f>Sheet1!B10</f>
        <v>188681</v>
      </c>
      <c r="C8" s="3">
        <f>Sheet1!D10</f>
        <v>55503</v>
      </c>
      <c r="D8">
        <f>Sheet1!F10</f>
        <v>1118</v>
      </c>
    </row>
    <row r="9" spans="1:4" x14ac:dyDescent="0.2">
      <c r="A9" t="str">
        <f>Sheet1!A11</f>
        <v>Gloucester</v>
      </c>
      <c r="B9" s="3">
        <f>Sheet1!B11</f>
        <v>67066</v>
      </c>
      <c r="C9" s="3">
        <f>Sheet1!D11</f>
        <v>61265</v>
      </c>
      <c r="D9">
        <f>Sheet1!F11</f>
        <v>935</v>
      </c>
    </row>
    <row r="10" spans="1:4" x14ac:dyDescent="0.2">
      <c r="A10" t="str">
        <f>Sheet1!A12</f>
        <v>Hudson</v>
      </c>
      <c r="B10" s="3">
        <f>Sheet1!B12</f>
        <v>127181</v>
      </c>
      <c r="C10" s="3">
        <f>Sheet1!D12</f>
        <v>41021</v>
      </c>
      <c r="D10">
        <f>Sheet1!F12</f>
        <v>2122</v>
      </c>
    </row>
    <row r="11" spans="1:4" x14ac:dyDescent="0.2">
      <c r="A11" t="str">
        <f>Sheet1!A13</f>
        <v>Hunterdon</v>
      </c>
      <c r="B11" s="3">
        <f>Sheet1!B13</f>
        <v>31663</v>
      </c>
      <c r="C11" s="3">
        <f>Sheet1!D13</f>
        <v>34683</v>
      </c>
      <c r="D11">
        <f>Sheet1!F13</f>
        <v>401</v>
      </c>
    </row>
    <row r="12" spans="1:4" x14ac:dyDescent="0.2">
      <c r="A12" t="str">
        <f>Sheet1!A14</f>
        <v>Mercer</v>
      </c>
      <c r="B12" s="3">
        <f>Sheet1!B14</f>
        <v>91713</v>
      </c>
      <c r="C12" s="3">
        <f>Sheet1!D14</f>
        <v>36156</v>
      </c>
      <c r="D12">
        <f>Sheet1!F14</f>
        <v>741</v>
      </c>
    </row>
    <row r="13" spans="1:4" x14ac:dyDescent="0.2">
      <c r="A13" t="str">
        <f>Sheet1!A15</f>
        <v>Middlesex</v>
      </c>
      <c r="B13" s="3">
        <f>Sheet1!B15</f>
        <v>174038</v>
      </c>
      <c r="C13" s="3">
        <f>Sheet1!D15</f>
        <v>101830</v>
      </c>
      <c r="D13">
        <f>Sheet1!F15</f>
        <v>1992</v>
      </c>
    </row>
    <row r="14" spans="1:4" x14ac:dyDescent="0.2">
      <c r="A14" t="str">
        <f>Sheet1!A16</f>
        <v>Monmouth</v>
      </c>
      <c r="B14" s="3">
        <f>Sheet1!B16</f>
        <v>131484</v>
      </c>
      <c r="C14" s="3">
        <f>Sheet1!D16</f>
        <v>154166</v>
      </c>
      <c r="D14">
        <f>Sheet1!F16</f>
        <v>1503</v>
      </c>
    </row>
    <row r="15" spans="1:4" x14ac:dyDescent="0.2">
      <c r="A15" t="str">
        <f>Sheet1!A17</f>
        <v>Morris</v>
      </c>
      <c r="B15" s="3">
        <f>Sheet1!B17</f>
        <v>116488</v>
      </c>
      <c r="C15" s="3">
        <f>Sheet1!D17</f>
        <v>111422</v>
      </c>
      <c r="D15">
        <f>Sheet1!F17</f>
        <v>1006</v>
      </c>
    </row>
    <row r="16" spans="1:4" x14ac:dyDescent="0.2">
      <c r="A16" t="str">
        <f>Sheet1!A18</f>
        <v>Ocean</v>
      </c>
      <c r="B16" s="3">
        <f>Sheet1!B18</f>
        <v>90323</v>
      </c>
      <c r="C16" s="3">
        <f>Sheet1!D18</f>
        <v>185957</v>
      </c>
      <c r="D16">
        <f>Sheet1!F18</f>
        <v>1160</v>
      </c>
    </row>
    <row r="17" spans="1:4" x14ac:dyDescent="0.2">
      <c r="A17" t="str">
        <f>Sheet1!A19</f>
        <v>Passaic</v>
      </c>
      <c r="B17" s="3">
        <f>Sheet1!B19</f>
        <v>86053</v>
      </c>
      <c r="C17" s="3">
        <f>Sheet1!D19</f>
        <v>61966</v>
      </c>
      <c r="D17">
        <f>Sheet1!F19</f>
        <v>1081</v>
      </c>
    </row>
    <row r="18" spans="1:4" x14ac:dyDescent="0.2">
      <c r="A18" t="str">
        <f>Sheet1!A20</f>
        <v>Salem</v>
      </c>
      <c r="B18" s="3">
        <f>Sheet1!B20</f>
        <v>9782</v>
      </c>
      <c r="C18" s="3">
        <f>Sheet1!D20</f>
        <v>13281</v>
      </c>
      <c r="D18">
        <f>Sheet1!F20</f>
        <v>192</v>
      </c>
    </row>
    <row r="19" spans="1:4" x14ac:dyDescent="0.2">
      <c r="A19" t="str">
        <f>Sheet1!A21</f>
        <v>Somerset</v>
      </c>
      <c r="B19" s="3">
        <f>Sheet1!B21</f>
        <v>83355</v>
      </c>
      <c r="C19" s="3">
        <f>Sheet1!D21</f>
        <v>56095</v>
      </c>
      <c r="D19">
        <f>Sheet1!F21</f>
        <v>1037</v>
      </c>
    </row>
    <row r="20" spans="1:4" x14ac:dyDescent="0.2">
      <c r="A20" t="str">
        <f>Sheet1!A22</f>
        <v>Sussex</v>
      </c>
      <c r="B20" s="3">
        <f>Sheet1!B22</f>
        <v>26305</v>
      </c>
      <c r="C20" s="3">
        <f>Sheet1!D22</f>
        <v>38117</v>
      </c>
      <c r="D20">
        <f>Sheet1!F22</f>
        <v>429</v>
      </c>
    </row>
    <row r="21" spans="1:4" x14ac:dyDescent="0.2">
      <c r="A21" t="str">
        <f>Sheet1!A23</f>
        <v>Union</v>
      </c>
      <c r="B21" s="3">
        <f>Sheet1!B23</f>
        <v>124470</v>
      </c>
      <c r="C21" s="3">
        <f>Sheet1!D23</f>
        <v>59646</v>
      </c>
      <c r="D21">
        <f>Sheet1!F23</f>
        <v>1162</v>
      </c>
    </row>
    <row r="22" spans="1:4" x14ac:dyDescent="0.2">
      <c r="A22" t="str">
        <f>Sheet1!A24</f>
        <v>Warren</v>
      </c>
      <c r="B22" s="3">
        <f>Sheet1!B24</f>
        <v>19199</v>
      </c>
      <c r="C22" s="3">
        <f>Sheet1!D24</f>
        <v>25980</v>
      </c>
      <c r="D22">
        <f>Sheet1!F24</f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FD64-165F-6943-960C-559CB010CE95}">
  <dimension ref="A1:J25"/>
  <sheetViews>
    <sheetView workbookViewId="0">
      <selection activeCell="D2" sqref="D2"/>
    </sheetView>
  </sheetViews>
  <sheetFormatPr baseColWidth="10" defaultRowHeight="16" x14ac:dyDescent="0.2"/>
  <sheetData>
    <row r="1" spans="1:10" ht="20" x14ac:dyDescent="0.2">
      <c r="A1" s="9" t="s">
        <v>0</v>
      </c>
      <c r="B1" s="1" t="s">
        <v>1</v>
      </c>
      <c r="C1" s="1" t="s">
        <v>3</v>
      </c>
      <c r="D1" s="1" t="s">
        <v>5</v>
      </c>
      <c r="E1" s="9" t="s">
        <v>7</v>
      </c>
      <c r="F1" s="9" t="s">
        <v>8</v>
      </c>
    </row>
    <row r="2" spans="1:10" ht="20" x14ac:dyDescent="0.2">
      <c r="A2" s="9"/>
      <c r="B2" s="1" t="s">
        <v>2</v>
      </c>
      <c r="C2" s="1" t="s">
        <v>4</v>
      </c>
      <c r="D2" s="1" t="s">
        <v>6</v>
      </c>
      <c r="E2" s="9"/>
      <c r="F2" s="9"/>
    </row>
    <row r="3" spans="1:10" ht="20" x14ac:dyDescent="0.2">
      <c r="A3" s="1" t="s">
        <v>9</v>
      </c>
      <c r="B3" s="1" t="s">
        <v>10</v>
      </c>
      <c r="C3" s="1" t="s">
        <v>9</v>
      </c>
      <c r="D3" s="1" t="s">
        <v>10</v>
      </c>
      <c r="E3" s="1" t="s">
        <v>9</v>
      </c>
      <c r="F3" s="1" t="s">
        <v>10</v>
      </c>
      <c r="G3" s="1" t="s">
        <v>9</v>
      </c>
      <c r="H3" s="1" t="s">
        <v>10</v>
      </c>
    </row>
    <row r="4" spans="1:10" ht="20" x14ac:dyDescent="0.2">
      <c r="A4" s="2" t="s">
        <v>11</v>
      </c>
      <c r="B4" s="4">
        <v>51150</v>
      </c>
      <c r="C4" s="5">
        <v>0.51459999999999995</v>
      </c>
      <c r="D4" s="4">
        <v>47592</v>
      </c>
      <c r="E4" s="5">
        <v>0.4788</v>
      </c>
      <c r="F4" s="6">
        <v>652</v>
      </c>
      <c r="G4" s="5">
        <v>6.6E-3</v>
      </c>
      <c r="H4" s="4">
        <v>3558</v>
      </c>
      <c r="I4" s="5">
        <v>3.5799999999999998E-2</v>
      </c>
      <c r="J4" s="4">
        <v>99394</v>
      </c>
    </row>
    <row r="5" spans="1:10" ht="20" x14ac:dyDescent="0.2">
      <c r="A5" s="2" t="s">
        <v>12</v>
      </c>
      <c r="B5" s="4">
        <v>190461</v>
      </c>
      <c r="C5" s="5">
        <v>0.55259999999999998</v>
      </c>
      <c r="D5" s="4">
        <v>152682</v>
      </c>
      <c r="E5" s="5">
        <v>0.443</v>
      </c>
      <c r="F5" s="4">
        <v>1518</v>
      </c>
      <c r="G5" s="5">
        <v>4.4000000000000003E-3</v>
      </c>
      <c r="H5" s="4">
        <v>37779</v>
      </c>
      <c r="I5" s="5">
        <v>0.1096</v>
      </c>
      <c r="J5" s="4">
        <v>344661</v>
      </c>
    </row>
    <row r="6" spans="1:10" ht="20" x14ac:dyDescent="0.2">
      <c r="A6" s="2" t="s">
        <v>13</v>
      </c>
      <c r="B6" s="4">
        <v>116774</v>
      </c>
      <c r="C6" s="5">
        <v>0.60470000000000002</v>
      </c>
      <c r="D6" s="4">
        <v>75346</v>
      </c>
      <c r="E6" s="5">
        <v>0.39019999999999999</v>
      </c>
      <c r="F6" s="6">
        <v>986</v>
      </c>
      <c r="G6" s="5">
        <v>5.1000000000000004E-3</v>
      </c>
      <c r="H6" s="4">
        <v>41428</v>
      </c>
      <c r="I6" s="5">
        <v>0.2145</v>
      </c>
      <c r="J6" s="4">
        <v>193106</v>
      </c>
    </row>
    <row r="7" spans="1:10" ht="20" x14ac:dyDescent="0.2">
      <c r="A7" s="2" t="s">
        <v>14</v>
      </c>
      <c r="B7" s="4">
        <v>130693</v>
      </c>
      <c r="C7" s="5">
        <v>0.68079999999999996</v>
      </c>
      <c r="D7" s="4">
        <v>60107</v>
      </c>
      <c r="E7" s="5">
        <v>0.31309999999999999</v>
      </c>
      <c r="F7" s="4">
        <v>1180</v>
      </c>
      <c r="G7" s="5">
        <v>6.1000000000000004E-3</v>
      </c>
      <c r="H7" s="4">
        <v>70586</v>
      </c>
      <c r="I7" s="5">
        <v>0.36749999999999999</v>
      </c>
      <c r="J7" s="4">
        <v>191980</v>
      </c>
    </row>
    <row r="8" spans="1:10" ht="20" x14ac:dyDescent="0.2">
      <c r="A8" s="2" t="s">
        <v>15</v>
      </c>
      <c r="B8" s="4">
        <v>18269</v>
      </c>
      <c r="C8" s="5">
        <v>0.41460000000000002</v>
      </c>
      <c r="D8" s="4">
        <v>25586</v>
      </c>
      <c r="E8" s="5">
        <v>0.5806</v>
      </c>
      <c r="F8" s="6">
        <v>214</v>
      </c>
      <c r="G8" s="5">
        <v>4.8999999999999998E-3</v>
      </c>
      <c r="H8" s="4">
        <v>-7317</v>
      </c>
      <c r="I8" s="5">
        <v>-0.16600000000000001</v>
      </c>
      <c r="J8" s="4">
        <v>44069</v>
      </c>
    </row>
    <row r="9" spans="1:10" ht="20" x14ac:dyDescent="0.2">
      <c r="A9" s="2" t="s">
        <v>16</v>
      </c>
      <c r="B9" s="4">
        <v>21348</v>
      </c>
      <c r="C9" s="5">
        <v>0.52180000000000004</v>
      </c>
      <c r="D9" s="4">
        <v>19272</v>
      </c>
      <c r="E9" s="5">
        <v>0.47110000000000002</v>
      </c>
      <c r="F9" s="6">
        <v>290</v>
      </c>
      <c r="G9" s="5">
        <v>7.1000000000000004E-3</v>
      </c>
      <c r="H9" s="4">
        <v>2076</v>
      </c>
      <c r="I9" s="5">
        <v>5.0700000000000002E-2</v>
      </c>
      <c r="J9" s="4">
        <v>40910</v>
      </c>
    </row>
    <row r="10" spans="1:10" ht="20" x14ac:dyDescent="0.2">
      <c r="A10" s="2" t="s">
        <v>17</v>
      </c>
      <c r="B10" s="4">
        <v>188681</v>
      </c>
      <c r="C10" s="5">
        <v>0.76919999999999999</v>
      </c>
      <c r="D10" s="4">
        <v>55503</v>
      </c>
      <c r="E10" s="5">
        <v>0.2263</v>
      </c>
      <c r="F10" s="4">
        <v>1118</v>
      </c>
      <c r="G10" s="5">
        <v>4.5999999999999999E-3</v>
      </c>
      <c r="H10" s="4">
        <v>133178</v>
      </c>
      <c r="I10" s="5">
        <v>0.54290000000000005</v>
      </c>
      <c r="J10" s="4">
        <v>245302</v>
      </c>
    </row>
    <row r="11" spans="1:10" ht="20" x14ac:dyDescent="0.2">
      <c r="A11" s="2" t="s">
        <v>18</v>
      </c>
      <c r="B11" s="4">
        <v>67066</v>
      </c>
      <c r="C11" s="5">
        <v>0.51880000000000004</v>
      </c>
      <c r="D11" s="4">
        <v>61265</v>
      </c>
      <c r="E11" s="5">
        <v>0.47389999999999999</v>
      </c>
      <c r="F11" s="6">
        <v>935</v>
      </c>
      <c r="G11" s="5">
        <v>7.1999999999999998E-3</v>
      </c>
      <c r="H11" s="4">
        <v>5801</v>
      </c>
      <c r="I11" s="5">
        <v>4.4900000000000002E-2</v>
      </c>
      <c r="J11" s="4">
        <v>129266</v>
      </c>
    </row>
    <row r="12" spans="1:10" ht="20" x14ac:dyDescent="0.2">
      <c r="A12" s="2" t="s">
        <v>19</v>
      </c>
      <c r="B12" s="4">
        <v>127181</v>
      </c>
      <c r="C12" s="5">
        <v>0.74670000000000003</v>
      </c>
      <c r="D12" s="4">
        <v>41021</v>
      </c>
      <c r="E12" s="5">
        <v>0.24079999999999999</v>
      </c>
      <c r="F12" s="4">
        <v>2122</v>
      </c>
      <c r="G12" s="5">
        <v>1.2500000000000001E-2</v>
      </c>
      <c r="H12" s="4">
        <v>86160</v>
      </c>
      <c r="I12" s="5">
        <v>0.50590000000000002</v>
      </c>
      <c r="J12" s="4">
        <v>170324</v>
      </c>
    </row>
    <row r="13" spans="1:10" ht="20" x14ac:dyDescent="0.2">
      <c r="A13" s="2" t="s">
        <v>20</v>
      </c>
      <c r="B13" s="4">
        <v>31663</v>
      </c>
      <c r="C13" s="5">
        <v>0.47439999999999999</v>
      </c>
      <c r="D13" s="4">
        <v>34683</v>
      </c>
      <c r="E13" s="5">
        <v>0.51959999999999995</v>
      </c>
      <c r="F13" s="6">
        <v>401</v>
      </c>
      <c r="G13" s="5">
        <v>6.0000000000000001E-3</v>
      </c>
      <c r="H13" s="4">
        <v>-3020</v>
      </c>
      <c r="I13" s="5">
        <v>-4.5199999999999997E-2</v>
      </c>
      <c r="J13" s="4">
        <v>66747</v>
      </c>
    </row>
    <row r="14" spans="1:10" ht="20" x14ac:dyDescent="0.2">
      <c r="A14" s="2" t="s">
        <v>21</v>
      </c>
      <c r="B14" s="4">
        <v>91713</v>
      </c>
      <c r="C14" s="5">
        <v>0.71309999999999996</v>
      </c>
      <c r="D14" s="4">
        <v>36156</v>
      </c>
      <c r="E14" s="5">
        <v>0.28110000000000002</v>
      </c>
      <c r="F14" s="6">
        <v>741</v>
      </c>
      <c r="G14" s="5">
        <v>5.7999999999999996E-3</v>
      </c>
      <c r="H14" s="4">
        <v>55557</v>
      </c>
      <c r="I14" s="5">
        <v>0.432</v>
      </c>
      <c r="J14" s="4">
        <v>128610</v>
      </c>
    </row>
    <row r="15" spans="1:10" ht="20" x14ac:dyDescent="0.2">
      <c r="A15" s="2" t="s">
        <v>22</v>
      </c>
      <c r="B15" s="4">
        <v>174038</v>
      </c>
      <c r="C15" s="5">
        <v>0.62639999999999996</v>
      </c>
      <c r="D15" s="4">
        <v>101830</v>
      </c>
      <c r="E15" s="5">
        <v>0.36649999999999999</v>
      </c>
      <c r="F15" s="4">
        <v>1992</v>
      </c>
      <c r="G15" s="5">
        <v>7.1999999999999998E-3</v>
      </c>
      <c r="H15" s="4">
        <v>72208</v>
      </c>
      <c r="I15" s="5">
        <v>0.25990000000000002</v>
      </c>
      <c r="J15" s="4">
        <v>277860</v>
      </c>
    </row>
    <row r="16" spans="1:10" ht="20" x14ac:dyDescent="0.2">
      <c r="A16" s="2" t="s">
        <v>23</v>
      </c>
      <c r="B16" s="4">
        <v>131484</v>
      </c>
      <c r="C16" s="5">
        <v>0.45789999999999997</v>
      </c>
      <c r="D16" s="4">
        <v>154166</v>
      </c>
      <c r="E16" s="5">
        <v>0.53690000000000004</v>
      </c>
      <c r="F16" s="4">
        <v>1503</v>
      </c>
      <c r="G16" s="5">
        <v>5.1999999999999998E-3</v>
      </c>
      <c r="H16" s="4">
        <v>-22682</v>
      </c>
      <c r="I16" s="5">
        <v>-7.9000000000000001E-2</v>
      </c>
      <c r="J16" s="4">
        <v>287153</v>
      </c>
    </row>
    <row r="17" spans="1:10" ht="20" x14ac:dyDescent="0.2">
      <c r="A17" s="2" t="s">
        <v>24</v>
      </c>
      <c r="B17" s="4">
        <v>116488</v>
      </c>
      <c r="C17" s="5">
        <v>0.50890000000000002</v>
      </c>
      <c r="D17" s="4">
        <v>111422</v>
      </c>
      <c r="E17" s="5">
        <v>0.48670000000000002</v>
      </c>
      <c r="F17" s="4">
        <v>1006</v>
      </c>
      <c r="G17" s="5">
        <v>4.4000000000000003E-3</v>
      </c>
      <c r="H17" s="4">
        <v>5066</v>
      </c>
      <c r="I17" s="5">
        <v>2.2200000000000001E-2</v>
      </c>
      <c r="J17" s="4">
        <v>228916</v>
      </c>
    </row>
    <row r="18" spans="1:10" ht="20" x14ac:dyDescent="0.2">
      <c r="A18" s="2" t="s">
        <v>25</v>
      </c>
      <c r="B18" s="4">
        <v>90323</v>
      </c>
      <c r="C18" s="5">
        <v>0.3256</v>
      </c>
      <c r="D18" s="4">
        <v>185957</v>
      </c>
      <c r="E18" s="5">
        <v>0.67030000000000001</v>
      </c>
      <c r="F18" s="4">
        <v>1160</v>
      </c>
      <c r="G18" s="5">
        <v>4.1999999999999997E-3</v>
      </c>
      <c r="H18" s="4">
        <v>-95634</v>
      </c>
      <c r="I18" s="5">
        <v>-0.34470000000000001</v>
      </c>
      <c r="J18" s="4">
        <v>277440</v>
      </c>
    </row>
    <row r="19" spans="1:10" ht="20" x14ac:dyDescent="0.2">
      <c r="A19" s="2" t="s">
        <v>26</v>
      </c>
      <c r="B19" s="4">
        <v>86053</v>
      </c>
      <c r="C19" s="5">
        <v>0.57709999999999995</v>
      </c>
      <c r="D19" s="4">
        <v>61966</v>
      </c>
      <c r="E19" s="5">
        <v>0.41560000000000002</v>
      </c>
      <c r="F19" s="4">
        <v>1081</v>
      </c>
      <c r="G19" s="5">
        <v>7.3000000000000001E-3</v>
      </c>
      <c r="H19" s="4">
        <v>24087</v>
      </c>
      <c r="I19" s="5">
        <v>0.1615</v>
      </c>
      <c r="J19" s="4">
        <v>149100</v>
      </c>
    </row>
    <row r="20" spans="1:10" ht="20" x14ac:dyDescent="0.2">
      <c r="A20" s="2" t="s">
        <v>27</v>
      </c>
      <c r="B20" s="4">
        <v>9782</v>
      </c>
      <c r="C20" s="5">
        <v>0.42059999999999997</v>
      </c>
      <c r="D20" s="4">
        <v>13281</v>
      </c>
      <c r="E20" s="5">
        <v>0.57110000000000005</v>
      </c>
      <c r="F20" s="6">
        <v>192</v>
      </c>
      <c r="G20" s="5">
        <v>8.3000000000000001E-3</v>
      </c>
      <c r="H20" s="4">
        <v>-3499</v>
      </c>
      <c r="I20" s="5">
        <v>-0.15049999999999999</v>
      </c>
      <c r="J20" s="4">
        <v>23255</v>
      </c>
    </row>
    <row r="21" spans="1:10" ht="20" x14ac:dyDescent="0.2">
      <c r="A21" s="2" t="s">
        <v>28</v>
      </c>
      <c r="B21" s="4">
        <v>83355</v>
      </c>
      <c r="C21" s="5">
        <v>0.59330000000000005</v>
      </c>
      <c r="D21" s="4">
        <v>56095</v>
      </c>
      <c r="E21" s="5">
        <v>0.39929999999999999</v>
      </c>
      <c r="F21" s="4">
        <v>1037</v>
      </c>
      <c r="G21" s="5">
        <v>7.4000000000000003E-3</v>
      </c>
      <c r="H21" s="4">
        <v>27260</v>
      </c>
      <c r="I21" s="5">
        <v>0.19400000000000001</v>
      </c>
      <c r="J21" s="4">
        <v>140487</v>
      </c>
    </row>
    <row r="22" spans="1:10" ht="20" x14ac:dyDescent="0.2">
      <c r="A22" s="2" t="s">
        <v>29</v>
      </c>
      <c r="B22" s="4">
        <v>26305</v>
      </c>
      <c r="C22" s="5">
        <v>0.40560000000000002</v>
      </c>
      <c r="D22" s="4">
        <v>38117</v>
      </c>
      <c r="E22" s="5">
        <v>0.58779999999999999</v>
      </c>
      <c r="F22" s="6">
        <v>429</v>
      </c>
      <c r="G22" s="5">
        <v>6.6E-3</v>
      </c>
      <c r="H22" s="4">
        <v>-11812</v>
      </c>
      <c r="I22" s="5">
        <v>-0.1822</v>
      </c>
      <c r="J22" s="4">
        <v>64851</v>
      </c>
    </row>
    <row r="23" spans="1:10" ht="20" x14ac:dyDescent="0.2">
      <c r="A23" s="2" t="s">
        <v>30</v>
      </c>
      <c r="B23" s="4">
        <v>124470</v>
      </c>
      <c r="C23" s="5">
        <v>0.67179999999999995</v>
      </c>
      <c r="D23" s="4">
        <v>59646</v>
      </c>
      <c r="E23" s="5">
        <v>0.32190000000000002</v>
      </c>
      <c r="F23" s="4">
        <v>1162</v>
      </c>
      <c r="G23" s="5">
        <v>6.3E-3</v>
      </c>
      <c r="H23" s="4">
        <v>64824</v>
      </c>
      <c r="I23" s="5">
        <v>0.34989999999999999</v>
      </c>
      <c r="J23" s="4">
        <v>185278</v>
      </c>
    </row>
    <row r="24" spans="1:10" ht="20" x14ac:dyDescent="0.2">
      <c r="A24" s="2" t="s">
        <v>31</v>
      </c>
      <c r="B24" s="4">
        <v>19199</v>
      </c>
      <c r="C24" s="5">
        <v>0.4219</v>
      </c>
      <c r="D24" s="4">
        <v>25980</v>
      </c>
      <c r="E24" s="5">
        <v>0.57089999999999996</v>
      </c>
      <c r="F24" s="6">
        <v>326</v>
      </c>
      <c r="G24" s="5">
        <v>7.1999999999999998E-3</v>
      </c>
      <c r="H24" s="4">
        <v>-6781</v>
      </c>
      <c r="I24" s="5">
        <v>-0.14899999999999999</v>
      </c>
      <c r="J24" s="4">
        <v>45505</v>
      </c>
    </row>
    <row r="25" spans="1:10" ht="20" x14ac:dyDescent="0.2">
      <c r="A25" s="1" t="s">
        <v>32</v>
      </c>
      <c r="B25" s="7">
        <v>1896496</v>
      </c>
      <c r="C25" s="8">
        <v>0.56879999999999997</v>
      </c>
      <c r="D25" s="7">
        <v>1417673</v>
      </c>
      <c r="E25" s="8">
        <v>0.42520000000000002</v>
      </c>
      <c r="F25" s="7">
        <v>20045</v>
      </c>
      <c r="G25" s="8">
        <v>6.0000000000000001E-3</v>
      </c>
      <c r="H25" s="7">
        <v>478823</v>
      </c>
      <c r="I25" s="8">
        <v>0.14360000000000001</v>
      </c>
      <c r="J25" s="7">
        <v>3334214</v>
      </c>
    </row>
  </sheetData>
  <mergeCells count="3">
    <mergeCell ref="A1:A2"/>
    <mergeCell ref="E1:E2"/>
    <mergeCell ref="F1:F2"/>
  </mergeCells>
  <hyperlinks>
    <hyperlink ref="A4" r:id="rId1" tooltip="Atlantic County, New Jersey" display="https://en.wikipedia.org/wiki/Atlantic_County,_New_Jersey" xr:uid="{4FF427E0-F0D4-4B43-B494-76C47F4BDE82}"/>
    <hyperlink ref="A5" r:id="rId2" tooltip="Bergen County, New Jersey" display="https://en.wikipedia.org/wiki/Bergen_County,_New_Jersey" xr:uid="{1C8F7108-04AF-C44B-92A7-DB4A473B9583}"/>
    <hyperlink ref="A6" r:id="rId3" tooltip="Burlington County, New Jersey" display="https://en.wikipedia.org/wiki/Burlington_County,_New_Jersey" xr:uid="{6D06B1D2-A661-794E-8B28-EDA695DEC49C}"/>
    <hyperlink ref="A7" r:id="rId4" tooltip="Camden County, New Jersey" display="https://en.wikipedia.org/wiki/Camden_County,_New_Jersey" xr:uid="{67BCA371-7391-DB45-97C1-82B1AD95CB8D}"/>
    <hyperlink ref="A8" r:id="rId5" tooltip="Cape May County, New Jersey" display="https://en.wikipedia.org/wiki/Cape_May_County,_New_Jersey" xr:uid="{2764D422-7A11-5240-9653-ADB06425971D}"/>
    <hyperlink ref="A9" r:id="rId6" tooltip="Cumberland County, New Jersey" display="https://en.wikipedia.org/wiki/Cumberland_County,_New_Jersey" xr:uid="{BAA3921F-483B-CE41-9FD7-BDFC8A4D5A25}"/>
    <hyperlink ref="A10" r:id="rId7" tooltip="Essex County, New Jersey" display="https://en.wikipedia.org/wiki/Essex_County,_New_Jersey" xr:uid="{C7C00D5B-45F2-764B-9DBC-391064541E0F}"/>
    <hyperlink ref="A11" r:id="rId8" tooltip="Gloucester County, New Jersey" display="https://en.wikipedia.org/wiki/Gloucester_County,_New_Jersey" xr:uid="{B6B9923D-30DB-FE4C-937B-28BF57C47631}"/>
    <hyperlink ref="A12" r:id="rId9" tooltip="Hudson County, New Jersey" display="https://en.wikipedia.org/wiki/Hudson_County,_New_Jersey" xr:uid="{A63D1726-FF1A-5440-9D97-A430D0C3FC4C}"/>
    <hyperlink ref="A13" r:id="rId10" tooltip="Hunterdon County, New Jersey" display="https://en.wikipedia.org/wiki/Hunterdon_County,_New_Jersey" xr:uid="{054A67D7-75BB-274B-858B-57FEBCDA44C9}"/>
    <hyperlink ref="A14" r:id="rId11" tooltip="Mercer County, New Jersey" display="https://en.wikipedia.org/wiki/Mercer_County,_New_Jersey" xr:uid="{D35CEA0E-F830-E249-AD43-F68DFC22C5EF}"/>
    <hyperlink ref="A15" r:id="rId12" tooltip="Middlesex County, New Jersey" display="https://en.wikipedia.org/wiki/Middlesex_County,_New_Jersey" xr:uid="{10CBC6A7-CA66-7F44-B733-8077EB209485}"/>
    <hyperlink ref="A16" r:id="rId13" tooltip="Monmouth County, New Jersey" display="https://en.wikipedia.org/wiki/Monmouth_County,_New_Jersey" xr:uid="{85CF4A85-69A7-C841-8A39-652E3BE1ABFE}"/>
    <hyperlink ref="A17" r:id="rId14" tooltip="Morris County, New Jersey" display="https://en.wikipedia.org/wiki/Morris_County,_New_Jersey" xr:uid="{E6838FEC-42A9-A747-8AD2-A6683708C8E8}"/>
    <hyperlink ref="A18" r:id="rId15" tooltip="Ocean County, New Jersey" display="https://en.wikipedia.org/wiki/Ocean_County,_New_Jersey" xr:uid="{968BE29B-94B7-774D-A4D2-A30421C48CE3}"/>
    <hyperlink ref="A19" r:id="rId16" tooltip="Passaic County, New Jersey" display="https://en.wikipedia.org/wiki/Passaic_County,_New_Jersey" xr:uid="{6CD974D7-7115-FA40-B198-79A814773A2E}"/>
    <hyperlink ref="A20" r:id="rId17" tooltip="Salem County, New Jersey" display="https://en.wikipedia.org/wiki/Salem_County,_New_Jersey" xr:uid="{BE0DFFBB-79A4-4F43-9891-0A4001155BD2}"/>
    <hyperlink ref="A21" r:id="rId18" tooltip="Somerset County, New Jersey" display="https://en.wikipedia.org/wiki/Somerset_County,_New_Jersey" xr:uid="{F36AFD84-3C0B-9641-A9B3-39661E5017E9}"/>
    <hyperlink ref="A22" r:id="rId19" tooltip="Sussex County, New Jersey" display="https://en.wikipedia.org/wiki/Sussex_County,_New_Jersey" xr:uid="{363153F1-6B93-9A47-99E9-318DF2302E39}"/>
    <hyperlink ref="A23" r:id="rId20" tooltip="Union County, New Jersey" display="https://en.wikipedia.org/wiki/Union_County,_New_Jersey" xr:uid="{A4E33B86-315B-9D4B-937B-ED3A51B01F59}"/>
    <hyperlink ref="A24" r:id="rId21" tooltip="Warren County, New Jersey" display="https://en.wikipedia.org/wiki/Warren_County,_New_Jersey" xr:uid="{82DE9110-2CA3-9C43-97B2-01E56ADE34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Raddick</dc:creator>
  <cp:lastModifiedBy>Jordan Raddick</cp:lastModifiedBy>
  <dcterms:created xsi:type="dcterms:W3CDTF">2025-11-23T15:08:32Z</dcterms:created>
  <dcterms:modified xsi:type="dcterms:W3CDTF">2025-11-23T15:17:07Z</dcterms:modified>
</cp:coreProperties>
</file>