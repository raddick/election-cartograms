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dick/Documents/GitHub/election-cartograms/virginia-election-2025/"/>
    </mc:Choice>
  </mc:AlternateContent>
  <xr:revisionPtr revIDLastSave="0" documentId="13_ncr:1_{3CA9EA91-7883-6B4A-A8E6-0BDE69EF59E4}" xr6:coauthVersionLast="47" xr6:coauthVersionMax="47" xr10:uidLastSave="{00000000-0000-0000-0000-000000000000}"/>
  <bookViews>
    <workbookView xWindow="6120" yWindow="12160" windowWidth="28800" windowHeight="16140" xr2:uid="{0E396475-42DD-AE41-A480-59BA8D260A07}"/>
  </bookViews>
  <sheets>
    <sheet name="Data" sheetId="2" r:id="rId1"/>
    <sheet name="Wikipedia 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" l="1"/>
  <c r="B17" i="2"/>
  <c r="C17" i="2"/>
  <c r="D17" i="2"/>
  <c r="A13" i="2"/>
  <c r="B13" i="2"/>
  <c r="C13" i="2"/>
  <c r="D13" i="2"/>
  <c r="A102" i="2"/>
  <c r="B102" i="2"/>
  <c r="C102" i="2"/>
  <c r="D102" i="2"/>
  <c r="A96" i="2"/>
  <c r="B96" i="2"/>
  <c r="C96" i="2"/>
  <c r="D96" i="2"/>
  <c r="A54" i="2"/>
  <c r="B54" i="2"/>
  <c r="C54" i="2"/>
  <c r="D54" i="2"/>
  <c r="A86" i="2"/>
  <c r="B86" i="2"/>
  <c r="C86" i="2"/>
  <c r="D86" i="2"/>
  <c r="A8" i="2"/>
  <c r="B8" i="2"/>
  <c r="C8" i="2"/>
  <c r="D8" i="2"/>
  <c r="A27" i="2"/>
  <c r="B27" i="2"/>
  <c r="C27" i="2"/>
  <c r="D27" i="2"/>
  <c r="A129" i="2"/>
  <c r="B129" i="2"/>
  <c r="C129" i="2"/>
  <c r="D129" i="2"/>
  <c r="A22" i="2"/>
  <c r="B22" i="2"/>
  <c r="C22" i="2"/>
  <c r="D22" i="2"/>
  <c r="A125" i="2"/>
  <c r="B125" i="2"/>
  <c r="C125" i="2"/>
  <c r="D125" i="2"/>
  <c r="A46" i="2"/>
  <c r="B46" i="2"/>
  <c r="C46" i="2"/>
  <c r="D46" i="2"/>
  <c r="A109" i="2"/>
  <c r="B109" i="2"/>
  <c r="C109" i="2"/>
  <c r="D109" i="2"/>
  <c r="A100" i="2"/>
  <c r="B100" i="2"/>
  <c r="C100" i="2"/>
  <c r="D100" i="2"/>
  <c r="A105" i="2"/>
  <c r="B105" i="2"/>
  <c r="C105" i="2"/>
  <c r="D105" i="2"/>
  <c r="A98" i="2"/>
  <c r="B98" i="2"/>
  <c r="C98" i="2"/>
  <c r="D98" i="2"/>
  <c r="A128" i="2"/>
  <c r="B128" i="2"/>
  <c r="C128" i="2"/>
  <c r="D128" i="2"/>
  <c r="A34" i="2"/>
  <c r="B34" i="2"/>
  <c r="C34" i="2"/>
  <c r="D34" i="2"/>
  <c r="A51" i="2"/>
  <c r="B51" i="2"/>
  <c r="E51" i="2" s="1"/>
  <c r="C51" i="2"/>
  <c r="D51" i="2"/>
  <c r="A63" i="2"/>
  <c r="B63" i="2"/>
  <c r="C63" i="2"/>
  <c r="D63" i="2"/>
  <c r="A120" i="2"/>
  <c r="B120" i="2"/>
  <c r="C120" i="2"/>
  <c r="D120" i="2"/>
  <c r="A110" i="2"/>
  <c r="B110" i="2"/>
  <c r="C110" i="2"/>
  <c r="D110" i="2"/>
  <c r="A39" i="2"/>
  <c r="B39" i="2"/>
  <c r="C39" i="2"/>
  <c r="D39" i="2"/>
  <c r="A9" i="2"/>
  <c r="B9" i="2"/>
  <c r="C9" i="2"/>
  <c r="D9" i="2"/>
  <c r="A3" i="2"/>
  <c r="B3" i="2"/>
  <c r="C3" i="2"/>
  <c r="D3" i="2"/>
  <c r="A81" i="2"/>
  <c r="B81" i="2"/>
  <c r="C81" i="2"/>
  <c r="D81" i="2"/>
  <c r="A94" i="2"/>
  <c r="B94" i="2"/>
  <c r="C94" i="2"/>
  <c r="D94" i="2"/>
  <c r="A131" i="2"/>
  <c r="B131" i="2"/>
  <c r="C131" i="2"/>
  <c r="D131" i="2"/>
  <c r="A126" i="2"/>
  <c r="B126" i="2"/>
  <c r="C126" i="2"/>
  <c r="D126" i="2"/>
  <c r="A35" i="2"/>
  <c r="B35" i="2"/>
  <c r="C35" i="2"/>
  <c r="D35" i="2"/>
  <c r="A114" i="2"/>
  <c r="B114" i="2"/>
  <c r="C114" i="2"/>
  <c r="D114" i="2"/>
  <c r="A58" i="2"/>
  <c r="B58" i="2"/>
  <c r="C58" i="2"/>
  <c r="D58" i="2"/>
  <c r="A113" i="2"/>
  <c r="B113" i="2"/>
  <c r="C113" i="2"/>
  <c r="D113" i="2"/>
  <c r="A59" i="2"/>
  <c r="B59" i="2"/>
  <c r="C59" i="2"/>
  <c r="D59" i="2"/>
  <c r="A132" i="2"/>
  <c r="B132" i="2"/>
  <c r="C132" i="2"/>
  <c r="D132" i="2"/>
  <c r="A107" i="2"/>
  <c r="B107" i="2"/>
  <c r="C107" i="2"/>
  <c r="D107" i="2"/>
  <c r="A68" i="2"/>
  <c r="B68" i="2"/>
  <c r="C68" i="2"/>
  <c r="D68" i="2"/>
  <c r="A2" i="2"/>
  <c r="B2" i="2"/>
  <c r="C2" i="2"/>
  <c r="D2" i="2"/>
  <c r="A82" i="2"/>
  <c r="B82" i="2"/>
  <c r="C82" i="2"/>
  <c r="D82" i="2"/>
  <c r="A26" i="2"/>
  <c r="B26" i="2"/>
  <c r="C26" i="2"/>
  <c r="D26" i="2"/>
  <c r="A85" i="2"/>
  <c r="B85" i="2"/>
  <c r="C85" i="2"/>
  <c r="D85" i="2"/>
  <c r="A50" i="2"/>
  <c r="B50" i="2"/>
  <c r="C50" i="2"/>
  <c r="D50" i="2"/>
  <c r="A124" i="2"/>
  <c r="B124" i="2"/>
  <c r="E124" i="2" s="1"/>
  <c r="C124" i="2"/>
  <c r="D124" i="2"/>
  <c r="A33" i="2"/>
  <c r="B33" i="2"/>
  <c r="C33" i="2"/>
  <c r="D33" i="2"/>
  <c r="A23" i="2"/>
  <c r="B23" i="2"/>
  <c r="C23" i="2"/>
  <c r="D23" i="2"/>
  <c r="A67" i="2"/>
  <c r="B67" i="2"/>
  <c r="C67" i="2"/>
  <c r="D67" i="2"/>
  <c r="A130" i="2"/>
  <c r="B130" i="2"/>
  <c r="C130" i="2"/>
  <c r="D130" i="2"/>
  <c r="A89" i="2"/>
  <c r="B89" i="2"/>
  <c r="C89" i="2"/>
  <c r="D89" i="2"/>
  <c r="A42" i="2"/>
  <c r="B42" i="2"/>
  <c r="C42" i="2"/>
  <c r="D42" i="2"/>
  <c r="A44" i="2"/>
  <c r="B44" i="2"/>
  <c r="C44" i="2"/>
  <c r="D44" i="2"/>
  <c r="A101" i="2"/>
  <c r="B101" i="2"/>
  <c r="C101" i="2"/>
  <c r="D101" i="2"/>
  <c r="A72" i="2"/>
  <c r="B72" i="2"/>
  <c r="C72" i="2"/>
  <c r="D72" i="2"/>
  <c r="A121" i="2"/>
  <c r="B121" i="2"/>
  <c r="C121" i="2"/>
  <c r="D121" i="2"/>
  <c r="A52" i="2"/>
  <c r="B52" i="2"/>
  <c r="C52" i="2"/>
  <c r="D52" i="2"/>
  <c r="A18" i="2"/>
  <c r="B18" i="2"/>
  <c r="C18" i="2"/>
  <c r="D18" i="2"/>
  <c r="A14" i="2"/>
  <c r="B14" i="2"/>
  <c r="C14" i="2"/>
  <c r="D14" i="2"/>
  <c r="A53" i="2"/>
  <c r="B53" i="2"/>
  <c r="C53" i="2"/>
  <c r="D53" i="2"/>
  <c r="A7" i="2"/>
  <c r="B7" i="2"/>
  <c r="C7" i="2"/>
  <c r="D7" i="2"/>
  <c r="A41" i="2"/>
  <c r="B41" i="2"/>
  <c r="C41" i="2"/>
  <c r="D41" i="2"/>
  <c r="A133" i="2"/>
  <c r="B133" i="2"/>
  <c r="C133" i="2"/>
  <c r="D133" i="2"/>
  <c r="A91" i="2"/>
  <c r="B91" i="2"/>
  <c r="C91" i="2"/>
  <c r="D91" i="2"/>
  <c r="A37" i="2"/>
  <c r="B37" i="2"/>
  <c r="C37" i="2"/>
  <c r="D37" i="2"/>
  <c r="A20" i="2"/>
  <c r="B20" i="2"/>
  <c r="C20" i="2"/>
  <c r="D20" i="2"/>
  <c r="A122" i="2"/>
  <c r="B122" i="2"/>
  <c r="C122" i="2"/>
  <c r="D122" i="2"/>
  <c r="A62" i="2"/>
  <c r="B62" i="2"/>
  <c r="C62" i="2"/>
  <c r="D62" i="2"/>
  <c r="A75" i="2"/>
  <c r="B75" i="2"/>
  <c r="C75" i="2"/>
  <c r="D75" i="2"/>
  <c r="E75" i="2" s="1"/>
  <c r="A99" i="2"/>
  <c r="B99" i="2"/>
  <c r="C99" i="2"/>
  <c r="D99" i="2"/>
  <c r="A95" i="2"/>
  <c r="B95" i="2"/>
  <c r="C95" i="2"/>
  <c r="D95" i="2"/>
  <c r="A127" i="2"/>
  <c r="B127" i="2"/>
  <c r="C127" i="2"/>
  <c r="D127" i="2"/>
  <c r="A5" i="2"/>
  <c r="B5" i="2"/>
  <c r="C5" i="2"/>
  <c r="D5" i="2"/>
  <c r="A38" i="2"/>
  <c r="B38" i="2"/>
  <c r="C38" i="2"/>
  <c r="D38" i="2"/>
  <c r="A112" i="2"/>
  <c r="B112" i="2"/>
  <c r="C112" i="2"/>
  <c r="D112" i="2"/>
  <c r="A31" i="2"/>
  <c r="B31" i="2"/>
  <c r="C31" i="2"/>
  <c r="D31" i="2"/>
  <c r="A92" i="2"/>
  <c r="B92" i="2"/>
  <c r="C92" i="2"/>
  <c r="D92" i="2"/>
  <c r="A61" i="2"/>
  <c r="B61" i="2"/>
  <c r="C61" i="2"/>
  <c r="D61" i="2"/>
  <c r="A116" i="2"/>
  <c r="B116" i="2"/>
  <c r="C116" i="2"/>
  <c r="D116" i="2"/>
  <c r="A117" i="2"/>
  <c r="B117" i="2"/>
  <c r="C117" i="2"/>
  <c r="D117" i="2"/>
  <c r="A108" i="2"/>
  <c r="B108" i="2"/>
  <c r="C108" i="2"/>
  <c r="D108" i="2"/>
  <c r="A60" i="2"/>
  <c r="B60" i="2"/>
  <c r="C60" i="2"/>
  <c r="D60" i="2"/>
  <c r="A103" i="2"/>
  <c r="B103" i="2"/>
  <c r="C103" i="2"/>
  <c r="D103" i="2"/>
  <c r="A24" i="2"/>
  <c r="B24" i="2"/>
  <c r="C24" i="2"/>
  <c r="D24" i="2"/>
  <c r="A80" i="2"/>
  <c r="B80" i="2"/>
  <c r="C80" i="2"/>
  <c r="D80" i="2"/>
  <c r="A48" i="2"/>
  <c r="B48" i="2"/>
  <c r="C48" i="2"/>
  <c r="D48" i="2"/>
  <c r="A16" i="2"/>
  <c r="B16" i="2"/>
  <c r="C16" i="2"/>
  <c r="D16" i="2"/>
  <c r="A11" i="2"/>
  <c r="B11" i="2"/>
  <c r="C11" i="2"/>
  <c r="D11" i="2"/>
  <c r="A104" i="2"/>
  <c r="B104" i="2"/>
  <c r="C104" i="2"/>
  <c r="D104" i="2"/>
  <c r="A88" i="2"/>
  <c r="B88" i="2"/>
  <c r="C88" i="2"/>
  <c r="D88" i="2"/>
  <c r="A134" i="2"/>
  <c r="B134" i="2"/>
  <c r="C134" i="2"/>
  <c r="D134" i="2"/>
  <c r="A106" i="2"/>
  <c r="B106" i="2"/>
  <c r="C106" i="2"/>
  <c r="D106" i="2"/>
  <c r="A43" i="2"/>
  <c r="B43" i="2"/>
  <c r="C43" i="2"/>
  <c r="D43" i="2"/>
  <c r="A74" i="2"/>
  <c r="B74" i="2"/>
  <c r="C74" i="2"/>
  <c r="D74" i="2"/>
  <c r="A93" i="2"/>
  <c r="B93" i="2"/>
  <c r="C93" i="2"/>
  <c r="D93" i="2"/>
  <c r="A71" i="2"/>
  <c r="B71" i="2"/>
  <c r="C71" i="2"/>
  <c r="D71" i="2"/>
  <c r="A32" i="2"/>
  <c r="B32" i="2"/>
  <c r="C32" i="2"/>
  <c r="D32" i="2"/>
  <c r="A97" i="2"/>
  <c r="B97" i="2"/>
  <c r="C97" i="2"/>
  <c r="D97" i="2"/>
  <c r="A29" i="2"/>
  <c r="B29" i="2"/>
  <c r="C29" i="2"/>
  <c r="D29" i="2"/>
  <c r="A45" i="2"/>
  <c r="B45" i="2"/>
  <c r="C45" i="2"/>
  <c r="D45" i="2"/>
  <c r="A83" i="2"/>
  <c r="B83" i="2"/>
  <c r="C83" i="2"/>
  <c r="D83" i="2"/>
  <c r="A49" i="2"/>
  <c r="B49" i="2"/>
  <c r="C49" i="2"/>
  <c r="D49" i="2"/>
  <c r="A6" i="2"/>
  <c r="B6" i="2"/>
  <c r="C6" i="2"/>
  <c r="D6" i="2"/>
  <c r="A57" i="2"/>
  <c r="B57" i="2"/>
  <c r="C57" i="2"/>
  <c r="D57" i="2"/>
  <c r="A111" i="2"/>
  <c r="B111" i="2"/>
  <c r="C111" i="2"/>
  <c r="D111" i="2"/>
  <c r="A115" i="2"/>
  <c r="B115" i="2"/>
  <c r="C115" i="2"/>
  <c r="D115" i="2"/>
  <c r="A10" i="2"/>
  <c r="B10" i="2"/>
  <c r="C10" i="2"/>
  <c r="D10" i="2"/>
  <c r="A123" i="2"/>
  <c r="B123" i="2"/>
  <c r="C123" i="2"/>
  <c r="D123" i="2"/>
  <c r="A30" i="2"/>
  <c r="B30" i="2"/>
  <c r="C30" i="2"/>
  <c r="D30" i="2"/>
  <c r="A19" i="2"/>
  <c r="B19" i="2"/>
  <c r="C19" i="2"/>
  <c r="D19" i="2"/>
  <c r="A69" i="2"/>
  <c r="B69" i="2"/>
  <c r="C69" i="2"/>
  <c r="D69" i="2"/>
  <c r="A25" i="2"/>
  <c r="B25" i="2"/>
  <c r="C25" i="2"/>
  <c r="D25" i="2"/>
  <c r="A76" i="2"/>
  <c r="B76" i="2"/>
  <c r="C76" i="2"/>
  <c r="D76" i="2"/>
  <c r="A73" i="2"/>
  <c r="B73" i="2"/>
  <c r="C73" i="2"/>
  <c r="D73" i="2"/>
  <c r="A87" i="2"/>
  <c r="B87" i="2"/>
  <c r="C87" i="2"/>
  <c r="D87" i="2"/>
  <c r="E87" i="2" s="1"/>
  <c r="A40" i="2"/>
  <c r="B40" i="2"/>
  <c r="C40" i="2"/>
  <c r="D40" i="2"/>
  <c r="A70" i="2"/>
  <c r="B70" i="2"/>
  <c r="C70" i="2"/>
  <c r="D70" i="2"/>
  <c r="A84" i="2"/>
  <c r="B84" i="2"/>
  <c r="C84" i="2"/>
  <c r="D84" i="2"/>
  <c r="A15" i="2"/>
  <c r="B15" i="2"/>
  <c r="C15" i="2"/>
  <c r="D15" i="2"/>
  <c r="A12" i="2"/>
  <c r="B12" i="2"/>
  <c r="C12" i="2"/>
  <c r="D12" i="2"/>
  <c r="A66" i="2"/>
  <c r="B66" i="2"/>
  <c r="E66" i="2" s="1"/>
  <c r="C66" i="2"/>
  <c r="D66" i="2"/>
  <c r="A21" i="2"/>
  <c r="B21" i="2"/>
  <c r="E21" i="2" s="1"/>
  <c r="C21" i="2"/>
  <c r="D21" i="2"/>
  <c r="A119" i="2"/>
  <c r="B119" i="2"/>
  <c r="C119" i="2"/>
  <c r="D119" i="2"/>
  <c r="A118" i="2"/>
  <c r="B118" i="2"/>
  <c r="C118" i="2"/>
  <c r="D118" i="2"/>
  <c r="A56" i="2"/>
  <c r="B56" i="2"/>
  <c r="C56" i="2"/>
  <c r="D56" i="2"/>
  <c r="A4" i="2"/>
  <c r="B4" i="2"/>
  <c r="C4" i="2"/>
  <c r="D4" i="2"/>
  <c r="A47" i="2"/>
  <c r="B47" i="2"/>
  <c r="C47" i="2"/>
  <c r="D47" i="2"/>
  <c r="A36" i="2"/>
  <c r="B36" i="2"/>
  <c r="C36" i="2"/>
  <c r="D36" i="2"/>
  <c r="A78" i="2"/>
  <c r="B78" i="2"/>
  <c r="C78" i="2"/>
  <c r="D78" i="2"/>
  <c r="A79" i="2"/>
  <c r="B79" i="2"/>
  <c r="C79" i="2"/>
  <c r="D79" i="2"/>
  <c r="A90" i="2"/>
  <c r="B90" i="2"/>
  <c r="C90" i="2"/>
  <c r="D90" i="2"/>
  <c r="A77" i="2"/>
  <c r="B77" i="2"/>
  <c r="C77" i="2"/>
  <c r="D77" i="2"/>
  <c r="A64" i="2"/>
  <c r="B64" i="2"/>
  <c r="E64" i="2" s="1"/>
  <c r="C64" i="2"/>
  <c r="D64" i="2"/>
  <c r="A65" i="2"/>
  <c r="B65" i="2"/>
  <c r="E65" i="2" s="1"/>
  <c r="C65" i="2"/>
  <c r="D65" i="2"/>
  <c r="A28" i="2"/>
  <c r="B28" i="2"/>
  <c r="C28" i="2"/>
  <c r="D28" i="2"/>
  <c r="D55" i="2"/>
  <c r="C55" i="2"/>
  <c r="B55" i="2"/>
  <c r="A55" i="2"/>
  <c r="E84" i="2" l="1"/>
  <c r="E74" i="2"/>
  <c r="E99" i="2"/>
  <c r="E41" i="2"/>
  <c r="E62" i="2"/>
  <c r="E122" i="2"/>
  <c r="E7" i="2"/>
  <c r="E67" i="2"/>
  <c r="E18" i="2"/>
  <c r="E109" i="2"/>
  <c r="E11" i="2"/>
  <c r="E114" i="2"/>
  <c r="E29" i="2"/>
  <c r="E118" i="2"/>
  <c r="E3" i="2"/>
  <c r="E89" i="2"/>
  <c r="E79" i="2"/>
  <c r="E115" i="2"/>
  <c r="E60" i="2"/>
  <c r="E8" i="2"/>
  <c r="E70" i="2"/>
  <c r="E43" i="2"/>
  <c r="E34" i="2"/>
  <c r="E40" i="2"/>
  <c r="E106" i="2"/>
  <c r="E125" i="2"/>
  <c r="E25" i="2"/>
  <c r="E45" i="2"/>
  <c r="E31" i="2"/>
  <c r="E91" i="2"/>
  <c r="E42" i="2"/>
  <c r="E68" i="2"/>
  <c r="E17" i="2"/>
  <c r="E119" i="2"/>
  <c r="E112" i="2"/>
  <c r="E50" i="2"/>
  <c r="E9" i="2"/>
  <c r="E19" i="2"/>
  <c r="E97" i="2"/>
  <c r="E48" i="2"/>
  <c r="E38" i="2"/>
  <c r="E130" i="2"/>
  <c r="E85" i="2"/>
  <c r="E132" i="2"/>
  <c r="E39" i="2"/>
  <c r="E128" i="2"/>
  <c r="E30" i="2"/>
  <c r="E32" i="2"/>
  <c r="E134" i="2"/>
  <c r="E80" i="2"/>
  <c r="E5" i="2"/>
  <c r="E26" i="2"/>
  <c r="E59" i="2"/>
  <c r="E110" i="2"/>
  <c r="E98" i="2"/>
  <c r="E22" i="2"/>
  <c r="E111" i="2"/>
  <c r="E133" i="2"/>
  <c r="E86" i="2"/>
  <c r="E36" i="2"/>
  <c r="E90" i="2"/>
  <c r="E56" i="2"/>
  <c r="E76" i="2"/>
  <c r="E10" i="2"/>
  <c r="E83" i="2"/>
  <c r="E104" i="2"/>
  <c r="E103" i="2"/>
  <c r="E92" i="2"/>
  <c r="E37" i="2"/>
  <c r="E14" i="2"/>
  <c r="E44" i="2"/>
  <c r="E2" i="2"/>
  <c r="E58" i="2"/>
  <c r="E81" i="2"/>
  <c r="E100" i="2"/>
  <c r="E27" i="2"/>
  <c r="E13" i="2"/>
  <c r="E71" i="2"/>
  <c r="E102" i="2"/>
  <c r="E78" i="2"/>
  <c r="E69" i="2"/>
  <c r="E16" i="2"/>
  <c r="E107" i="2"/>
  <c r="E57" i="2"/>
  <c r="E117" i="2"/>
  <c r="E121" i="2"/>
  <c r="E126" i="2"/>
  <c r="E54" i="2"/>
  <c r="E47" i="2"/>
  <c r="E6" i="2"/>
  <c r="E116" i="2"/>
  <c r="E72" i="2"/>
  <c r="E131" i="2"/>
  <c r="E96" i="2"/>
  <c r="E77" i="2"/>
  <c r="E12" i="2"/>
  <c r="E123" i="2"/>
  <c r="E88" i="2"/>
  <c r="E61" i="2"/>
  <c r="E20" i="2"/>
  <c r="E101" i="2"/>
  <c r="E82" i="2"/>
  <c r="E94" i="2"/>
  <c r="E105" i="2"/>
  <c r="E15" i="2"/>
  <c r="E93" i="2"/>
  <c r="E95" i="2"/>
  <c r="E63" i="2"/>
  <c r="E55" i="2"/>
  <c r="E28" i="2"/>
  <c r="E108" i="2"/>
  <c r="E52" i="2"/>
  <c r="E35" i="2"/>
  <c r="E46" i="2"/>
  <c r="E4" i="2"/>
  <c r="E73" i="2"/>
  <c r="E49" i="2"/>
  <c r="E24" i="2"/>
  <c r="E127" i="2"/>
  <c r="E53" i="2"/>
  <c r="E23" i="2"/>
  <c r="E113" i="2"/>
  <c r="E120" i="2"/>
  <c r="E129" i="2"/>
  <c r="E33" i="2"/>
</calcChain>
</file>

<file path=xl/sharedStrings.xml><?xml version="1.0" encoding="utf-8"?>
<sst xmlns="http://schemas.openxmlformats.org/spreadsheetml/2006/main" count="321" uniqueCount="314">
  <si>
    <t>Locality[174]</t>
  </si>
  <si>
    <t>Winsome Earle-Sears</t>
  </si>
  <si>
    <t>Republican</t>
  </si>
  <si>
    <t>Abigail Spanberger</t>
  </si>
  <si>
    <t>Democratic</t>
  </si>
  <si>
    <t>Write-in</t>
  </si>
  <si>
    <t>Various</t>
  </si>
  <si>
    <t>Margin</t>
  </si>
  <si>
    <t>Total</t>
  </si>
  <si>
    <t>#</t>
  </si>
  <si>
    <t>%</t>
  </si>
  <si>
    <t>Accomack</t>
  </si>
  <si>
    <t>−1,204</t>
  </si>
  <si>
    <t>−9.22%</t>
  </si>
  <si>
    <t>Albemarle</t>
  </si>
  <si>
    <t>Alexandria</t>
  </si>
  <si>
    <t>Alleghany</t>
  </si>
  <si>
    <t>−2,232</t>
  </si>
  <si>
    <t>−38.48%</t>
  </si>
  <si>
    <t>Amelia</t>
  </si>
  <si>
    <t>−2,690</t>
  </si>
  <si>
    <t>−42.30%</t>
  </si>
  <si>
    <t>Amherst</t>
  </si>
  <si>
    <t>−4,517</t>
  </si>
  <si>
    <t>−34.42%</t>
  </si>
  <si>
    <t>Appomattox</t>
  </si>
  <si>
    <t>−3,844</t>
  </si>
  <si>
    <t>−52.04%</t>
  </si>
  <si>
    <t>Arlington</t>
  </si>
  <si>
    <t>Augusta</t>
  </si>
  <si>
    <t>−15,090</t>
  </si>
  <si>
    <t>−44.13%</t>
  </si>
  <si>
    <t>Bath</t>
  </si>
  <si>
    <t>−928</t>
  </si>
  <si>
    <t>−48.36%</t>
  </si>
  <si>
    <t>Bedford</t>
  </si>
  <si>
    <t>−19,118</t>
  </si>
  <si>
    <t>−48.68%</t>
  </si>
  <si>
    <t>Bland</t>
  </si>
  <si>
    <t>−1,533</t>
  </si>
  <si>
    <t>−63.40%</t>
  </si>
  <si>
    <t>Botetourt</t>
  </si>
  <si>
    <t>−6,851</t>
  </si>
  <si>
    <t>−40.73%</t>
  </si>
  <si>
    <t>Bristol</t>
  </si>
  <si>
    <t>−1,430</t>
  </si>
  <si>
    <t>−30.06%</t>
  </si>
  <si>
    <t>Brunswick</t>
  </si>
  <si>
    <t>Buchanan</t>
  </si>
  <si>
    <t>−3,463</t>
  </si>
  <si>
    <t>−63.98%</t>
  </si>
  <si>
    <t>Buckingham</t>
  </si>
  <si>
    <t>−1,130</t>
  </si>
  <si>
    <t>−18.66%</t>
  </si>
  <si>
    <t>Buena Vista</t>
  </si>
  <si>
    <t>−696</t>
  </si>
  <si>
    <t>−33.19%</t>
  </si>
  <si>
    <t>Campbell</t>
  </si>
  <si>
    <t>−10,748</t>
  </si>
  <si>
    <t>−46.65%</t>
  </si>
  <si>
    <t>Caroline</t>
  </si>
  <si>
    <t>Carroll</t>
  </si>
  <si>
    <t>−6,456</t>
  </si>
  <si>
    <t>−56.89%</t>
  </si>
  <si>
    <t>Charles City</t>
  </si>
  <si>
    <t>Charlotte</t>
  </si>
  <si>
    <t>−1,614</t>
  </si>
  <si>
    <t>−34.27%</t>
  </si>
  <si>
    <t>Charlottesville</t>
  </si>
  <si>
    <t>Chesapeake</t>
  </si>
  <si>
    <t>Chesterfield</t>
  </si>
  <si>
    <t>Clarke</t>
  </si>
  <si>
    <t>−833</t>
  </si>
  <si>
    <t>−10.92%</t>
  </si>
  <si>
    <t>Colonial Heights</t>
  </si>
  <si>
    <t>−1,618</t>
  </si>
  <si>
    <t>−24.56%</t>
  </si>
  <si>
    <t>Covington</t>
  </si>
  <si>
    <t>−321</t>
  </si>
  <si>
    <t>−19.14%</t>
  </si>
  <si>
    <t>Craig</t>
  </si>
  <si>
    <t>−1,339</t>
  </si>
  <si>
    <t>−58.75%</t>
  </si>
  <si>
    <t>Culpeper</t>
  </si>
  <si>
    <t>−3,378</t>
  </si>
  <si>
    <t>−15.47%</t>
  </si>
  <si>
    <t>Cumberland</t>
  </si>
  <si>
    <t>−806</t>
  </si>
  <si>
    <t>−18.24%</t>
  </si>
  <si>
    <t>Danville</t>
  </si>
  <si>
    <t>Dickenson</t>
  </si>
  <si>
    <t>−2,399</t>
  </si>
  <si>
    <t>−53.77%</t>
  </si>
  <si>
    <t>Dinwiddie</t>
  </si>
  <si>
    <t>−1,997</t>
  </si>
  <si>
    <t>−16.53%</t>
  </si>
  <si>
    <t>Emporia</t>
  </si>
  <si>
    <t>Essex</t>
  </si>
  <si>
    <t>−283</t>
  </si>
  <si>
    <t>−5.81%</t>
  </si>
  <si>
    <t>Fairfax City</t>
  </si>
  <si>
    <t>Fairfax County</t>
  </si>
  <si>
    <t>Falls Church</t>
  </si>
  <si>
    <t>Fauquier</t>
  </si>
  <si>
    <t>−5,284</t>
  </si>
  <si>
    <t>−15.29%</t>
  </si>
  <si>
    <t>Floyd</t>
  </si>
  <si>
    <t>−2,203</t>
  </si>
  <si>
    <t>−29.67%</t>
  </si>
  <si>
    <t>Fluvanna</t>
  </si>
  <si>
    <t>−6</t>
  </si>
  <si>
    <t>−0.04%</t>
  </si>
  <si>
    <t>Franklin City</t>
  </si>
  <si>
    <t>Franklin County</t>
  </si>
  <si>
    <t>−9,481</t>
  </si>
  <si>
    <t>−40.89%</t>
  </si>
  <si>
    <t>Frederick</t>
  </si>
  <si>
    <t>−7,321</t>
  </si>
  <si>
    <t>−18.78%</t>
  </si>
  <si>
    <t>Fredericksburg</t>
  </si>
  <si>
    <t>Galax</t>
  </si>
  <si>
    <t>−687</t>
  </si>
  <si>
    <t>−36.50%</t>
  </si>
  <si>
    <t>Giles</t>
  </si>
  <si>
    <t>−3,201</t>
  </si>
  <si>
    <t>−47.21%</t>
  </si>
  <si>
    <t>Gloucester</t>
  </si>
  <si>
    <t>−5,487</t>
  </si>
  <si>
    <t>−31.64%</t>
  </si>
  <si>
    <t>Goochland</t>
  </si>
  <si>
    <t>−2,387</t>
  </si>
  <si>
    <t>−13.97%</t>
  </si>
  <si>
    <t>Grayson</t>
  </si>
  <si>
    <t>−3,350</t>
  </si>
  <si>
    <t>Greene</t>
  </si>
  <si>
    <t>−1,422</t>
  </si>
  <si>
    <t>−14.95%</t>
  </si>
  <si>
    <t>Greensville</t>
  </si>
  <si>
    <t>Halifax</t>
  </si>
  <si>
    <t>−2,755</t>
  </si>
  <si>
    <t>−20.68%</t>
  </si>
  <si>
    <t>Hampton</t>
  </si>
  <si>
    <t>Hanover</t>
  </si>
  <si>
    <t>−12,284</t>
  </si>
  <si>
    <t>−20.35%</t>
  </si>
  <si>
    <t>Harrisonburg</t>
  </si>
  <si>
    <t>Henrico</t>
  </si>
  <si>
    <t>Henry</t>
  </si>
  <si>
    <t>−4,830</t>
  </si>
  <si>
    <t>−27.60%</t>
  </si>
  <si>
    <t>Highland</t>
  </si>
  <si>
    <t>−469</t>
  </si>
  <si>
    <t>−39.28%</t>
  </si>
  <si>
    <t>Hopewell</t>
  </si>
  <si>
    <t>Isle of Wight</t>
  </si>
  <si>
    <t>−2,704</t>
  </si>
  <si>
    <t>−14.09%</t>
  </si>
  <si>
    <t>James City</t>
  </si>
  <si>
    <t>King and Queen</t>
  </si>
  <si>
    <t>−693</t>
  </si>
  <si>
    <t>−21.12%</t>
  </si>
  <si>
    <t>King George</t>
  </si>
  <si>
    <t>−2,193</t>
  </si>
  <si>
    <t>−18.83%</t>
  </si>
  <si>
    <t>King William</t>
  </si>
  <si>
    <t>−3,013</t>
  </si>
  <si>
    <t>−33.24%</t>
  </si>
  <si>
    <t>Lancaster</t>
  </si>
  <si>
    <t>−549</t>
  </si>
  <si>
    <t>−9.10%</t>
  </si>
  <si>
    <t>Lee</t>
  </si>
  <si>
    <t>−4,420</t>
  </si>
  <si>
    <t>−68.37%</t>
  </si>
  <si>
    <t>Lexington</t>
  </si>
  <si>
    <t>Loudoun</t>
  </si>
  <si>
    <t>Louisa</t>
  </si>
  <si>
    <t>−3,651</t>
  </si>
  <si>
    <t>−19.27%</t>
  </si>
  <si>
    <t>Lunenburg</t>
  </si>
  <si>
    <t>−876</t>
  </si>
  <si>
    <t>−19.47%</t>
  </si>
  <si>
    <t>Lynchburg</t>
  </si>
  <si>
    <t>−277</t>
  </si>
  <si>
    <t>−1.03%</t>
  </si>
  <si>
    <t>Madison</t>
  </si>
  <si>
    <t>−1,873</t>
  </si>
  <si>
    <t>−28.15%</t>
  </si>
  <si>
    <t>Manassas</t>
  </si>
  <si>
    <t>Manassas Park</t>
  </si>
  <si>
    <t>Martinsville</t>
  </si>
  <si>
    <t>Mathews</t>
  </si>
  <si>
    <t>−1,687</t>
  </si>
  <si>
    <t>−35.13%</t>
  </si>
  <si>
    <t>Mecklenburg</t>
  </si>
  <si>
    <t>−2,494</t>
  </si>
  <si>
    <t>−21.10%</t>
  </si>
  <si>
    <t>Middlesex</t>
  </si>
  <si>
    <t>−1,299</t>
  </si>
  <si>
    <t>−22.98%</t>
  </si>
  <si>
    <t>Montgomery</t>
  </si>
  <si>
    <t>Nelson</t>
  </si>
  <si>
    <t>New Kent</t>
  </si>
  <si>
    <t>−3,717</t>
  </si>
  <si>
    <t>−26.72%</t>
  </si>
  <si>
    <t>Newport News</t>
  </si>
  <si>
    <t>Norfolk</t>
  </si>
  <si>
    <t>Northampton</t>
  </si>
  <si>
    <t>Northumberland</t>
  </si>
  <si>
    <t>−1,447</t>
  </si>
  <si>
    <t>−21.18%</t>
  </si>
  <si>
    <t>Norton</t>
  </si>
  <si>
    <t>−389</t>
  </si>
  <si>
    <t>−36.87%</t>
  </si>
  <si>
    <t>Nottoway</t>
  </si>
  <si>
    <t>−864</t>
  </si>
  <si>
    <t>−16.03%</t>
  </si>
  <si>
    <t>Orange</t>
  </si>
  <si>
    <t>−2,577</t>
  </si>
  <si>
    <t>−14.87%</t>
  </si>
  <si>
    <t>Page</t>
  </si>
  <si>
    <t>−4,575</t>
  </si>
  <si>
    <t>−49.04%</t>
  </si>
  <si>
    <t>Patrick</t>
  </si>
  <si>
    <t>−3,631</t>
  </si>
  <si>
    <t>−54.92%</t>
  </si>
  <si>
    <t>Petersburg</t>
  </si>
  <si>
    <t>Pittsylvania</t>
  </si>
  <si>
    <t>−10,167</t>
  </si>
  <si>
    <t>−41.08%</t>
  </si>
  <si>
    <t>Poquoson</t>
  </si>
  <si>
    <t>−2,522</t>
  </si>
  <si>
    <t>−40.27%</t>
  </si>
  <si>
    <t>Portsmouth</t>
  </si>
  <si>
    <t>Powhatan</t>
  </si>
  <si>
    <t>−6,694</t>
  </si>
  <si>
    <t>−39.26%</t>
  </si>
  <si>
    <t>Prince Edward</t>
  </si>
  <si>
    <t>Prince George</t>
  </si>
  <si>
    <t>−2,279</t>
  </si>
  <si>
    <t>−16.63%</t>
  </si>
  <si>
    <t>Prince William</t>
  </si>
  <si>
    <t>Pulaski</t>
  </si>
  <si>
    <t>−4,680</t>
  </si>
  <si>
    <t>−37.27%</t>
  </si>
  <si>
    <t>Radford</t>
  </si>
  <si>
    <t>Rappahannock</t>
  </si>
  <si>
    <t>−419</t>
  </si>
  <si>
    <t>−10.35%</t>
  </si>
  <si>
    <t>Richmond City</t>
  </si>
  <si>
    <t>Richmond County</t>
  </si>
  <si>
    <t>−873</t>
  </si>
  <si>
    <t>−27.93%</t>
  </si>
  <si>
    <t>Roanoke City</t>
  </si>
  <si>
    <t>Roanoke County</t>
  </si>
  <si>
    <t>−6,666</t>
  </si>
  <si>
    <t>−15.54%</t>
  </si>
  <si>
    <t>Rockbridge</t>
  </si>
  <si>
    <t>−3,042</t>
  </si>
  <si>
    <t>−29.93%</t>
  </si>
  <si>
    <t>Rockingham</t>
  </si>
  <si>
    <t>−12,876</t>
  </si>
  <si>
    <t>−35.57%</t>
  </si>
  <si>
    <t>Russell</t>
  </si>
  <si>
    <t>−5,595</t>
  </si>
  <si>
    <t>−62.46%</t>
  </si>
  <si>
    <t>Salem</t>
  </si>
  <si>
    <t>−1,132</t>
  </si>
  <si>
    <t>−11.96%</t>
  </si>
  <si>
    <t>Scott</t>
  </si>
  <si>
    <t>−4,868</t>
  </si>
  <si>
    <t>−66.20%</t>
  </si>
  <si>
    <t>Shenandoah</t>
  </si>
  <si>
    <t>−6,790</t>
  </si>
  <si>
    <t>−37.26%</t>
  </si>
  <si>
    <t>Smyth</t>
  </si>
  <si>
    <t>−5,414</t>
  </si>
  <si>
    <t>−53.99%</t>
  </si>
  <si>
    <t>Southampton</t>
  </si>
  <si>
    <t>−1,547</t>
  </si>
  <si>
    <t>−20.78%</t>
  </si>
  <si>
    <t>Spotsylvania</t>
  </si>
  <si>
    <t>Stafford</t>
  </si>
  <si>
    <t>Staunton</t>
  </si>
  <si>
    <t>Suffolk</t>
  </si>
  <si>
    <t>Surry</t>
  </si>
  <si>
    <t>Sussex</t>
  </si>
  <si>
    <t>Tazewell</t>
  </si>
  <si>
    <t>−8,159</t>
  </si>
  <si>
    <t>−64.37%</t>
  </si>
  <si>
    <t>Virginia Beach</t>
  </si>
  <si>
    <t>Warren</t>
  </si>
  <si>
    <t>−4,676</t>
  </si>
  <si>
    <t>−28.81%</t>
  </si>
  <si>
    <t>Washington</t>
  </si>
  <si>
    <t>−10,232</t>
  </si>
  <si>
    <t>−48.63%</t>
  </si>
  <si>
    <t>Waynesboro</t>
  </si>
  <si>
    <t>Westmoreland</t>
  </si>
  <si>
    <t>−663</t>
  </si>
  <si>
    <t>−8.15%</t>
  </si>
  <si>
    <t>Williamsburg</t>
  </si>
  <si>
    <t>Winchester</t>
  </si>
  <si>
    <t>Wise</t>
  </si>
  <si>
    <t>−6,463</t>
  </si>
  <si>
    <t>−58.50%</t>
  </si>
  <si>
    <t>Wythe</t>
  </si>
  <si>
    <t>−5,832</t>
  </si>
  <si>
    <t>−52.81%</t>
  </si>
  <si>
    <t>York</t>
  </si>
  <si>
    <t>Totals</t>
  </si>
  <si>
    <t>Locality</t>
  </si>
  <si>
    <t>Winsome-Sears</t>
  </si>
  <si>
    <t>Spanberger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</si>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</sst>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rgb="FF202122"/>
      <name val="Arial"/>
      <family val="2"/>
    </font>
    <font>
      <sz val="14"/>
      <color rgb="FF000000"/>
      <name val="Arial"/>
      <family val="2"/>
    </font>
    <font>
      <sz val="14"/>
      <color rgb="FF202122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0" borderId="0" xfId="1"/>
    <xf numFmtId="3" fontId="0" fillId="0" borderId="0" xfId="0" applyNumberFormat="1"/>
    <xf numFmtId="3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2" fillId="0" borderId="0" xfId="0" applyFont="1"/>
    <xf numFmtId="3" fontId="3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0" fontId="5" fillId="0" borderId="0" xfId="0" applyFont="1"/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Spotsylvania_County,_Virginia" TargetMode="External"/><Relationship Id="rId21" Type="http://schemas.openxmlformats.org/officeDocument/2006/relationships/hyperlink" Target="https://en.wikipedia.org/wiki/Carroll_County,_Virginia" TargetMode="External"/><Relationship Id="rId42" Type="http://schemas.openxmlformats.org/officeDocument/2006/relationships/hyperlink" Target="https://en.wikipedia.org/wiki/Floyd_County,_Virginia" TargetMode="External"/><Relationship Id="rId63" Type="http://schemas.openxmlformats.org/officeDocument/2006/relationships/hyperlink" Target="https://en.wikipedia.org/wiki/Isle_of_Wight_County,_Virginia" TargetMode="External"/><Relationship Id="rId84" Type="http://schemas.openxmlformats.org/officeDocument/2006/relationships/hyperlink" Target="https://en.wikipedia.org/wiki/New_Kent_County,_Virginia" TargetMode="External"/><Relationship Id="rId16" Type="http://schemas.openxmlformats.org/officeDocument/2006/relationships/hyperlink" Target="https://en.wikipedia.org/wiki/Buchanan_County,_Virginia" TargetMode="External"/><Relationship Id="rId107" Type="http://schemas.openxmlformats.org/officeDocument/2006/relationships/hyperlink" Target="https://en.wikipedia.org/wiki/Roanoke,_Virginia" TargetMode="External"/><Relationship Id="rId11" Type="http://schemas.openxmlformats.org/officeDocument/2006/relationships/hyperlink" Target="https://en.wikipedia.org/wiki/Bedford_County,_Virginia" TargetMode="External"/><Relationship Id="rId32" Type="http://schemas.openxmlformats.org/officeDocument/2006/relationships/hyperlink" Target="https://en.wikipedia.org/wiki/Cumberland_County,_Virginia" TargetMode="External"/><Relationship Id="rId37" Type="http://schemas.openxmlformats.org/officeDocument/2006/relationships/hyperlink" Target="https://en.wikipedia.org/wiki/Essex_County,_Virginia" TargetMode="External"/><Relationship Id="rId53" Type="http://schemas.openxmlformats.org/officeDocument/2006/relationships/hyperlink" Target="https://en.wikipedia.org/wiki/Greene_County,_Virginia" TargetMode="External"/><Relationship Id="rId58" Type="http://schemas.openxmlformats.org/officeDocument/2006/relationships/hyperlink" Target="https://en.wikipedia.org/wiki/Harrisonburg,_Virginia" TargetMode="External"/><Relationship Id="rId74" Type="http://schemas.openxmlformats.org/officeDocument/2006/relationships/hyperlink" Target="https://en.wikipedia.org/wiki/Lynchburg,_Virginia" TargetMode="External"/><Relationship Id="rId79" Type="http://schemas.openxmlformats.org/officeDocument/2006/relationships/hyperlink" Target="https://en.wikipedia.org/wiki/Mathews_County,_Virginia" TargetMode="External"/><Relationship Id="rId102" Type="http://schemas.openxmlformats.org/officeDocument/2006/relationships/hyperlink" Target="https://en.wikipedia.org/wiki/Pulaski_County,_Virginia" TargetMode="External"/><Relationship Id="rId123" Type="http://schemas.openxmlformats.org/officeDocument/2006/relationships/hyperlink" Target="https://en.wikipedia.org/wiki/Tazewell_County,_Virginia" TargetMode="External"/><Relationship Id="rId128" Type="http://schemas.openxmlformats.org/officeDocument/2006/relationships/hyperlink" Target="https://en.wikipedia.org/wiki/Westmoreland_County,_Virginia" TargetMode="External"/><Relationship Id="rId5" Type="http://schemas.openxmlformats.org/officeDocument/2006/relationships/hyperlink" Target="https://en.wikipedia.org/wiki/Amelia_County,_Virginia" TargetMode="External"/><Relationship Id="rId90" Type="http://schemas.openxmlformats.org/officeDocument/2006/relationships/hyperlink" Target="https://en.wikipedia.org/wiki/Nottoway_County,_Virginia" TargetMode="External"/><Relationship Id="rId95" Type="http://schemas.openxmlformats.org/officeDocument/2006/relationships/hyperlink" Target="https://en.wikipedia.org/wiki/Pittsylvania_County,_Virginia" TargetMode="External"/><Relationship Id="rId22" Type="http://schemas.openxmlformats.org/officeDocument/2006/relationships/hyperlink" Target="https://en.wikipedia.org/wiki/Charles_City_County,_Virginia" TargetMode="External"/><Relationship Id="rId27" Type="http://schemas.openxmlformats.org/officeDocument/2006/relationships/hyperlink" Target="https://en.wikipedia.org/wiki/Clarke_County,_Virginia" TargetMode="External"/><Relationship Id="rId43" Type="http://schemas.openxmlformats.org/officeDocument/2006/relationships/hyperlink" Target="https://en.wikipedia.org/wiki/Fluvanna_County,_Virginia" TargetMode="External"/><Relationship Id="rId48" Type="http://schemas.openxmlformats.org/officeDocument/2006/relationships/hyperlink" Target="https://en.wikipedia.org/wiki/Galax,_Virginia" TargetMode="External"/><Relationship Id="rId64" Type="http://schemas.openxmlformats.org/officeDocument/2006/relationships/hyperlink" Target="https://en.wikipedia.org/wiki/James_City_County,_Virginia" TargetMode="External"/><Relationship Id="rId69" Type="http://schemas.openxmlformats.org/officeDocument/2006/relationships/hyperlink" Target="https://en.wikipedia.org/wiki/Lee_County,_Virginia" TargetMode="External"/><Relationship Id="rId113" Type="http://schemas.openxmlformats.org/officeDocument/2006/relationships/hyperlink" Target="https://en.wikipedia.org/wiki/Scott_County,_Virginia" TargetMode="External"/><Relationship Id="rId118" Type="http://schemas.openxmlformats.org/officeDocument/2006/relationships/hyperlink" Target="https://en.wikipedia.org/wiki/Stafford_County,_Virginia" TargetMode="External"/><Relationship Id="rId134" Type="http://schemas.openxmlformats.org/officeDocument/2006/relationships/hyperlink" Target="https://en.wikipedia.org/wiki/2025_Virginia_gubernatorial_election" TargetMode="External"/><Relationship Id="rId80" Type="http://schemas.openxmlformats.org/officeDocument/2006/relationships/hyperlink" Target="https://en.wikipedia.org/wiki/Mecklenburg_County,_Virginia" TargetMode="External"/><Relationship Id="rId85" Type="http://schemas.openxmlformats.org/officeDocument/2006/relationships/hyperlink" Target="https://en.wikipedia.org/wiki/Newport_News,_Virginia" TargetMode="External"/><Relationship Id="rId12" Type="http://schemas.openxmlformats.org/officeDocument/2006/relationships/hyperlink" Target="https://en.wikipedia.org/wiki/Bland_County,_Virginia" TargetMode="External"/><Relationship Id="rId17" Type="http://schemas.openxmlformats.org/officeDocument/2006/relationships/hyperlink" Target="https://en.wikipedia.org/wiki/Buckingham_County,_Virginia" TargetMode="External"/><Relationship Id="rId33" Type="http://schemas.openxmlformats.org/officeDocument/2006/relationships/hyperlink" Target="https://en.wikipedia.org/wiki/Danville,_Virginia" TargetMode="External"/><Relationship Id="rId38" Type="http://schemas.openxmlformats.org/officeDocument/2006/relationships/hyperlink" Target="https://en.wikipedia.org/wiki/Fairfax,_Virginia" TargetMode="External"/><Relationship Id="rId59" Type="http://schemas.openxmlformats.org/officeDocument/2006/relationships/hyperlink" Target="https://en.wikipedia.org/wiki/Henrico_County,_Virginia" TargetMode="External"/><Relationship Id="rId103" Type="http://schemas.openxmlformats.org/officeDocument/2006/relationships/hyperlink" Target="https://en.wikipedia.org/wiki/Radford,_Virginia" TargetMode="External"/><Relationship Id="rId108" Type="http://schemas.openxmlformats.org/officeDocument/2006/relationships/hyperlink" Target="https://en.wikipedia.org/wiki/Roanoke_County,_Virginia" TargetMode="External"/><Relationship Id="rId124" Type="http://schemas.openxmlformats.org/officeDocument/2006/relationships/hyperlink" Target="https://en.wikipedia.org/wiki/Virginia_Beach,_Virginia" TargetMode="External"/><Relationship Id="rId129" Type="http://schemas.openxmlformats.org/officeDocument/2006/relationships/hyperlink" Target="https://en.wikipedia.org/wiki/Williamsburg,_Virginia" TargetMode="External"/><Relationship Id="rId54" Type="http://schemas.openxmlformats.org/officeDocument/2006/relationships/hyperlink" Target="https://en.wikipedia.org/wiki/Greensville_County,_Virginia" TargetMode="External"/><Relationship Id="rId70" Type="http://schemas.openxmlformats.org/officeDocument/2006/relationships/hyperlink" Target="https://en.wikipedia.org/wiki/Lexington,_Virginia" TargetMode="External"/><Relationship Id="rId75" Type="http://schemas.openxmlformats.org/officeDocument/2006/relationships/hyperlink" Target="https://en.wikipedia.org/wiki/Madison_County,_Virginia" TargetMode="External"/><Relationship Id="rId91" Type="http://schemas.openxmlformats.org/officeDocument/2006/relationships/hyperlink" Target="https://en.wikipedia.org/wiki/Orange_County,_Virginia" TargetMode="External"/><Relationship Id="rId96" Type="http://schemas.openxmlformats.org/officeDocument/2006/relationships/hyperlink" Target="https://en.wikipedia.org/wiki/Poquoson,_Virginia" TargetMode="External"/><Relationship Id="rId1" Type="http://schemas.openxmlformats.org/officeDocument/2006/relationships/hyperlink" Target="https://en.wikipedia.org/wiki/Accomack_County,_Virginia" TargetMode="External"/><Relationship Id="rId6" Type="http://schemas.openxmlformats.org/officeDocument/2006/relationships/hyperlink" Target="https://en.wikipedia.org/wiki/Amherst_County,_Virginia" TargetMode="External"/><Relationship Id="rId23" Type="http://schemas.openxmlformats.org/officeDocument/2006/relationships/hyperlink" Target="https://en.wikipedia.org/wiki/Charlotte_County,_Virginia" TargetMode="External"/><Relationship Id="rId28" Type="http://schemas.openxmlformats.org/officeDocument/2006/relationships/hyperlink" Target="https://en.wikipedia.org/wiki/Colonial_Heights,_Virginia" TargetMode="External"/><Relationship Id="rId49" Type="http://schemas.openxmlformats.org/officeDocument/2006/relationships/hyperlink" Target="https://en.wikipedia.org/wiki/Giles_County,_Virginia" TargetMode="External"/><Relationship Id="rId114" Type="http://schemas.openxmlformats.org/officeDocument/2006/relationships/hyperlink" Target="https://en.wikipedia.org/wiki/Shenandoah_County,_Virginia" TargetMode="External"/><Relationship Id="rId119" Type="http://schemas.openxmlformats.org/officeDocument/2006/relationships/hyperlink" Target="https://en.wikipedia.org/wiki/Staunton,_Virginia" TargetMode="External"/><Relationship Id="rId44" Type="http://schemas.openxmlformats.org/officeDocument/2006/relationships/hyperlink" Target="https://en.wikipedia.org/wiki/Franklin,_Virginia" TargetMode="External"/><Relationship Id="rId60" Type="http://schemas.openxmlformats.org/officeDocument/2006/relationships/hyperlink" Target="https://en.wikipedia.org/wiki/Henry_County,_Virginia" TargetMode="External"/><Relationship Id="rId65" Type="http://schemas.openxmlformats.org/officeDocument/2006/relationships/hyperlink" Target="https://en.wikipedia.org/wiki/King_and_Queen_County,_Virginia" TargetMode="External"/><Relationship Id="rId81" Type="http://schemas.openxmlformats.org/officeDocument/2006/relationships/hyperlink" Target="https://en.wikipedia.org/wiki/Middlesex_County,_Virginia" TargetMode="External"/><Relationship Id="rId86" Type="http://schemas.openxmlformats.org/officeDocument/2006/relationships/hyperlink" Target="https://en.wikipedia.org/wiki/Norfolk,_Virginia" TargetMode="External"/><Relationship Id="rId130" Type="http://schemas.openxmlformats.org/officeDocument/2006/relationships/hyperlink" Target="https://en.wikipedia.org/wiki/Winchester,_Virginia" TargetMode="External"/><Relationship Id="rId13" Type="http://schemas.openxmlformats.org/officeDocument/2006/relationships/hyperlink" Target="https://en.wikipedia.org/wiki/Botetourt_County,_Virginia" TargetMode="External"/><Relationship Id="rId18" Type="http://schemas.openxmlformats.org/officeDocument/2006/relationships/hyperlink" Target="https://en.wikipedia.org/wiki/Buena_Vista,_Virginia" TargetMode="External"/><Relationship Id="rId39" Type="http://schemas.openxmlformats.org/officeDocument/2006/relationships/hyperlink" Target="https://en.wikipedia.org/wiki/Fairfax_County,_Virginia" TargetMode="External"/><Relationship Id="rId109" Type="http://schemas.openxmlformats.org/officeDocument/2006/relationships/hyperlink" Target="https://en.wikipedia.org/wiki/Rockbridge_County,_Virginia" TargetMode="External"/><Relationship Id="rId34" Type="http://schemas.openxmlformats.org/officeDocument/2006/relationships/hyperlink" Target="https://en.wikipedia.org/wiki/Dickenson_County,_Virginia" TargetMode="External"/><Relationship Id="rId50" Type="http://schemas.openxmlformats.org/officeDocument/2006/relationships/hyperlink" Target="https://en.wikipedia.org/wiki/Gloucester_County,_Virginia" TargetMode="External"/><Relationship Id="rId55" Type="http://schemas.openxmlformats.org/officeDocument/2006/relationships/hyperlink" Target="https://en.wikipedia.org/wiki/Halifax_County,_Virginia" TargetMode="External"/><Relationship Id="rId76" Type="http://schemas.openxmlformats.org/officeDocument/2006/relationships/hyperlink" Target="https://en.wikipedia.org/wiki/Manassas,_Virginia" TargetMode="External"/><Relationship Id="rId97" Type="http://schemas.openxmlformats.org/officeDocument/2006/relationships/hyperlink" Target="https://en.wikipedia.org/wiki/Portsmouth,_Virginia" TargetMode="External"/><Relationship Id="rId104" Type="http://schemas.openxmlformats.org/officeDocument/2006/relationships/hyperlink" Target="https://en.wikipedia.org/wiki/Rappahannock_County,_Virginia" TargetMode="External"/><Relationship Id="rId120" Type="http://schemas.openxmlformats.org/officeDocument/2006/relationships/hyperlink" Target="https://en.wikipedia.org/wiki/Suffolk,_Virginia" TargetMode="External"/><Relationship Id="rId125" Type="http://schemas.openxmlformats.org/officeDocument/2006/relationships/hyperlink" Target="https://en.wikipedia.org/wiki/Warren_County,_Virginia" TargetMode="External"/><Relationship Id="rId7" Type="http://schemas.openxmlformats.org/officeDocument/2006/relationships/hyperlink" Target="https://en.wikipedia.org/wiki/Appomattox_County,_Virginia" TargetMode="External"/><Relationship Id="rId71" Type="http://schemas.openxmlformats.org/officeDocument/2006/relationships/hyperlink" Target="https://en.wikipedia.org/wiki/Loudoun_County,_Virginia" TargetMode="External"/><Relationship Id="rId92" Type="http://schemas.openxmlformats.org/officeDocument/2006/relationships/hyperlink" Target="https://en.wikipedia.org/wiki/Page_County,_Virginia" TargetMode="External"/><Relationship Id="rId2" Type="http://schemas.openxmlformats.org/officeDocument/2006/relationships/hyperlink" Target="https://en.wikipedia.org/wiki/Albemarle_County,_Virginia" TargetMode="External"/><Relationship Id="rId29" Type="http://schemas.openxmlformats.org/officeDocument/2006/relationships/hyperlink" Target="https://en.wikipedia.org/wiki/Covington,_Virginia" TargetMode="External"/><Relationship Id="rId24" Type="http://schemas.openxmlformats.org/officeDocument/2006/relationships/hyperlink" Target="https://en.wikipedia.org/wiki/Charlottesville,_Virginia" TargetMode="External"/><Relationship Id="rId40" Type="http://schemas.openxmlformats.org/officeDocument/2006/relationships/hyperlink" Target="https://en.wikipedia.org/wiki/Falls_Church,_Virginia" TargetMode="External"/><Relationship Id="rId45" Type="http://schemas.openxmlformats.org/officeDocument/2006/relationships/hyperlink" Target="https://en.wikipedia.org/wiki/Franklin_County,_Virginia" TargetMode="External"/><Relationship Id="rId66" Type="http://schemas.openxmlformats.org/officeDocument/2006/relationships/hyperlink" Target="https://en.wikipedia.org/wiki/King_George_County,_Virginia" TargetMode="External"/><Relationship Id="rId87" Type="http://schemas.openxmlformats.org/officeDocument/2006/relationships/hyperlink" Target="https://en.wikipedia.org/wiki/Northampton_County,_Virginia" TargetMode="External"/><Relationship Id="rId110" Type="http://schemas.openxmlformats.org/officeDocument/2006/relationships/hyperlink" Target="https://en.wikipedia.org/wiki/Rockingham_County,_Virginia" TargetMode="External"/><Relationship Id="rId115" Type="http://schemas.openxmlformats.org/officeDocument/2006/relationships/hyperlink" Target="https://en.wikipedia.org/wiki/Smyth_County,_Virginia" TargetMode="External"/><Relationship Id="rId131" Type="http://schemas.openxmlformats.org/officeDocument/2006/relationships/hyperlink" Target="https://en.wikipedia.org/wiki/Wise_County,_Virginia" TargetMode="External"/><Relationship Id="rId61" Type="http://schemas.openxmlformats.org/officeDocument/2006/relationships/hyperlink" Target="https://en.wikipedia.org/wiki/Highland_County,_Virginia" TargetMode="External"/><Relationship Id="rId82" Type="http://schemas.openxmlformats.org/officeDocument/2006/relationships/hyperlink" Target="https://en.wikipedia.org/wiki/Montgomery_County,_Virginia" TargetMode="External"/><Relationship Id="rId19" Type="http://schemas.openxmlformats.org/officeDocument/2006/relationships/hyperlink" Target="https://en.wikipedia.org/wiki/Campbell_County,_Virginia" TargetMode="External"/><Relationship Id="rId14" Type="http://schemas.openxmlformats.org/officeDocument/2006/relationships/hyperlink" Target="https://en.wikipedia.org/wiki/Bristol,_Virginia" TargetMode="External"/><Relationship Id="rId30" Type="http://schemas.openxmlformats.org/officeDocument/2006/relationships/hyperlink" Target="https://en.wikipedia.org/wiki/Craig_County,_Virginia" TargetMode="External"/><Relationship Id="rId35" Type="http://schemas.openxmlformats.org/officeDocument/2006/relationships/hyperlink" Target="https://en.wikipedia.org/wiki/Dinwiddie_County,_Virginia" TargetMode="External"/><Relationship Id="rId56" Type="http://schemas.openxmlformats.org/officeDocument/2006/relationships/hyperlink" Target="https://en.wikipedia.org/wiki/Hampton,_Virginia" TargetMode="External"/><Relationship Id="rId77" Type="http://schemas.openxmlformats.org/officeDocument/2006/relationships/hyperlink" Target="https://en.wikipedia.org/wiki/Manassas_Park,_Virginia" TargetMode="External"/><Relationship Id="rId100" Type="http://schemas.openxmlformats.org/officeDocument/2006/relationships/hyperlink" Target="https://en.wikipedia.org/wiki/Prince_George_County,_Virginia" TargetMode="External"/><Relationship Id="rId105" Type="http://schemas.openxmlformats.org/officeDocument/2006/relationships/hyperlink" Target="https://en.wikipedia.org/wiki/Richmond,_Virginia" TargetMode="External"/><Relationship Id="rId126" Type="http://schemas.openxmlformats.org/officeDocument/2006/relationships/hyperlink" Target="https://en.wikipedia.org/wiki/Washington_County,_Virginia" TargetMode="External"/><Relationship Id="rId8" Type="http://schemas.openxmlformats.org/officeDocument/2006/relationships/hyperlink" Target="https://en.wikipedia.org/wiki/Arlington_County,_Virginia" TargetMode="External"/><Relationship Id="rId51" Type="http://schemas.openxmlformats.org/officeDocument/2006/relationships/hyperlink" Target="https://en.wikipedia.org/wiki/Goochland_County,_Virginia" TargetMode="External"/><Relationship Id="rId72" Type="http://schemas.openxmlformats.org/officeDocument/2006/relationships/hyperlink" Target="https://en.wikipedia.org/wiki/Louisa_County,_Virginia" TargetMode="External"/><Relationship Id="rId93" Type="http://schemas.openxmlformats.org/officeDocument/2006/relationships/hyperlink" Target="https://en.wikipedia.org/wiki/Patrick_County,_Virginia" TargetMode="External"/><Relationship Id="rId98" Type="http://schemas.openxmlformats.org/officeDocument/2006/relationships/hyperlink" Target="https://en.wikipedia.org/wiki/Powhatan_County,_Virginia" TargetMode="External"/><Relationship Id="rId121" Type="http://schemas.openxmlformats.org/officeDocument/2006/relationships/hyperlink" Target="https://en.wikipedia.org/wiki/Surry_County,_Virginia" TargetMode="External"/><Relationship Id="rId3" Type="http://schemas.openxmlformats.org/officeDocument/2006/relationships/hyperlink" Target="https://en.wikipedia.org/wiki/Alexandria,_Virginia" TargetMode="External"/><Relationship Id="rId25" Type="http://schemas.openxmlformats.org/officeDocument/2006/relationships/hyperlink" Target="https://en.wikipedia.org/wiki/Chesapeake,_Virginia" TargetMode="External"/><Relationship Id="rId46" Type="http://schemas.openxmlformats.org/officeDocument/2006/relationships/hyperlink" Target="https://en.wikipedia.org/wiki/Frederick_County,_Virginia" TargetMode="External"/><Relationship Id="rId67" Type="http://schemas.openxmlformats.org/officeDocument/2006/relationships/hyperlink" Target="https://en.wikipedia.org/wiki/King_William_County,_Virginia" TargetMode="External"/><Relationship Id="rId116" Type="http://schemas.openxmlformats.org/officeDocument/2006/relationships/hyperlink" Target="https://en.wikipedia.org/wiki/Southampton_County,_Virginia" TargetMode="External"/><Relationship Id="rId20" Type="http://schemas.openxmlformats.org/officeDocument/2006/relationships/hyperlink" Target="https://en.wikipedia.org/wiki/Caroline_County,_Virginia" TargetMode="External"/><Relationship Id="rId41" Type="http://schemas.openxmlformats.org/officeDocument/2006/relationships/hyperlink" Target="https://en.wikipedia.org/wiki/Fauquier_County,_Virginia" TargetMode="External"/><Relationship Id="rId62" Type="http://schemas.openxmlformats.org/officeDocument/2006/relationships/hyperlink" Target="https://en.wikipedia.org/wiki/Hopewell,_Virginia" TargetMode="External"/><Relationship Id="rId83" Type="http://schemas.openxmlformats.org/officeDocument/2006/relationships/hyperlink" Target="https://en.wikipedia.org/wiki/Nelson_County,_Virginia" TargetMode="External"/><Relationship Id="rId88" Type="http://schemas.openxmlformats.org/officeDocument/2006/relationships/hyperlink" Target="https://en.wikipedia.org/wiki/Northumberland_County,_Virginia" TargetMode="External"/><Relationship Id="rId111" Type="http://schemas.openxmlformats.org/officeDocument/2006/relationships/hyperlink" Target="https://en.wikipedia.org/wiki/Russell_County,_Virginia" TargetMode="External"/><Relationship Id="rId132" Type="http://schemas.openxmlformats.org/officeDocument/2006/relationships/hyperlink" Target="https://en.wikipedia.org/wiki/Wythe_County,_Virginia" TargetMode="External"/><Relationship Id="rId15" Type="http://schemas.openxmlformats.org/officeDocument/2006/relationships/hyperlink" Target="https://en.wikipedia.org/wiki/Brunswick_County,_Virginia" TargetMode="External"/><Relationship Id="rId36" Type="http://schemas.openxmlformats.org/officeDocument/2006/relationships/hyperlink" Target="https://en.wikipedia.org/wiki/Emporia,_Virginia" TargetMode="External"/><Relationship Id="rId57" Type="http://schemas.openxmlformats.org/officeDocument/2006/relationships/hyperlink" Target="https://en.wikipedia.org/wiki/Hanover_County,_Virginia" TargetMode="External"/><Relationship Id="rId106" Type="http://schemas.openxmlformats.org/officeDocument/2006/relationships/hyperlink" Target="https://en.wikipedia.org/wiki/Richmond_County,_Virginia" TargetMode="External"/><Relationship Id="rId127" Type="http://schemas.openxmlformats.org/officeDocument/2006/relationships/hyperlink" Target="https://en.wikipedia.org/wiki/Waynesboro,_Virginia" TargetMode="External"/><Relationship Id="rId10" Type="http://schemas.openxmlformats.org/officeDocument/2006/relationships/hyperlink" Target="https://en.wikipedia.org/wiki/Bath_County,_Virginia" TargetMode="External"/><Relationship Id="rId31" Type="http://schemas.openxmlformats.org/officeDocument/2006/relationships/hyperlink" Target="https://en.wikipedia.org/wiki/Culpeper_County,_Virginia" TargetMode="External"/><Relationship Id="rId52" Type="http://schemas.openxmlformats.org/officeDocument/2006/relationships/hyperlink" Target="https://en.wikipedia.org/wiki/Grayson_County,_Virginia" TargetMode="External"/><Relationship Id="rId73" Type="http://schemas.openxmlformats.org/officeDocument/2006/relationships/hyperlink" Target="https://en.wikipedia.org/wiki/Lunenburg_County,_Virginia" TargetMode="External"/><Relationship Id="rId78" Type="http://schemas.openxmlformats.org/officeDocument/2006/relationships/hyperlink" Target="https://en.wikipedia.org/wiki/Martinsville,_Virginia" TargetMode="External"/><Relationship Id="rId94" Type="http://schemas.openxmlformats.org/officeDocument/2006/relationships/hyperlink" Target="https://en.wikipedia.org/wiki/Petersburg,_Virginia" TargetMode="External"/><Relationship Id="rId99" Type="http://schemas.openxmlformats.org/officeDocument/2006/relationships/hyperlink" Target="https://en.wikipedia.org/wiki/Prince_Edward_County,_Virginia" TargetMode="External"/><Relationship Id="rId101" Type="http://schemas.openxmlformats.org/officeDocument/2006/relationships/hyperlink" Target="https://en.wikipedia.org/wiki/Prince_William_County,_Virginia" TargetMode="External"/><Relationship Id="rId122" Type="http://schemas.openxmlformats.org/officeDocument/2006/relationships/hyperlink" Target="https://en.wikipedia.org/wiki/Sussex_County,_Virginia" TargetMode="External"/><Relationship Id="rId4" Type="http://schemas.openxmlformats.org/officeDocument/2006/relationships/hyperlink" Target="https://en.wikipedia.org/wiki/Alleghany_County,_Virginia" TargetMode="External"/><Relationship Id="rId9" Type="http://schemas.openxmlformats.org/officeDocument/2006/relationships/hyperlink" Target="https://en.wikipedia.org/wiki/Augusta_County,_Virginia" TargetMode="External"/><Relationship Id="rId26" Type="http://schemas.openxmlformats.org/officeDocument/2006/relationships/hyperlink" Target="https://en.wikipedia.org/wiki/Chesterfield_County,_Virginia" TargetMode="External"/><Relationship Id="rId47" Type="http://schemas.openxmlformats.org/officeDocument/2006/relationships/hyperlink" Target="https://en.wikipedia.org/wiki/Fredericksburg,_Virginia" TargetMode="External"/><Relationship Id="rId68" Type="http://schemas.openxmlformats.org/officeDocument/2006/relationships/hyperlink" Target="https://en.wikipedia.org/wiki/Lancaster_County,_Virginia" TargetMode="External"/><Relationship Id="rId89" Type="http://schemas.openxmlformats.org/officeDocument/2006/relationships/hyperlink" Target="https://en.wikipedia.org/wiki/Norton,_Virginia" TargetMode="External"/><Relationship Id="rId112" Type="http://schemas.openxmlformats.org/officeDocument/2006/relationships/hyperlink" Target="https://en.wikipedia.org/wiki/Salem,_Virginia" TargetMode="External"/><Relationship Id="rId133" Type="http://schemas.openxmlformats.org/officeDocument/2006/relationships/hyperlink" Target="https://en.wikipedia.org/wiki/York_County,_Virgi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5172-1224-614C-89AD-2F64C2710462}">
  <dimension ref="A1:E20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1" defaultRowHeight="16" x14ac:dyDescent="0.2"/>
  <cols>
    <col min="1" max="1" width="16" customWidth="1"/>
    <col min="2" max="2" width="17.1640625" customWidth="1"/>
    <col min="3" max="3" width="15.5" customWidth="1"/>
    <col min="4" max="4" width="11" customWidth="1"/>
  </cols>
  <sheetData>
    <row r="1" spans="1:5" x14ac:dyDescent="0.2">
      <c r="A1" s="12" t="s">
        <v>310</v>
      </c>
      <c r="B1" s="12" t="s">
        <v>311</v>
      </c>
      <c r="C1" s="12" t="s">
        <v>312</v>
      </c>
      <c r="D1" s="12" t="s">
        <v>313</v>
      </c>
      <c r="E1" s="12" t="s">
        <v>8</v>
      </c>
    </row>
    <row r="2" spans="1:5" x14ac:dyDescent="0.2">
      <c r="A2" t="str">
        <f>'Wikipedia table'!A43</f>
        <v>Fairfax County</v>
      </c>
      <c r="B2" s="3">
        <f>'Wikipedia table'!B43</f>
        <v>116053</v>
      </c>
      <c r="C2" s="3">
        <f>'Wikipedia table'!D43</f>
        <v>329977</v>
      </c>
      <c r="D2">
        <f>'Wikipedia table'!F43</f>
        <v>1222</v>
      </c>
      <c r="E2" s="3">
        <f>SUM(B2:D2)</f>
        <v>447252</v>
      </c>
    </row>
    <row r="3" spans="1:5" x14ac:dyDescent="0.2">
      <c r="A3" t="str">
        <f>'Wikipedia table'!A30</f>
        <v>Chesterfield</v>
      </c>
      <c r="B3" s="3">
        <f>'Wikipedia table'!B30</f>
        <v>70021</v>
      </c>
      <c r="C3" s="3">
        <f>'Wikipedia table'!D30</f>
        <v>100595</v>
      </c>
      <c r="D3">
        <f>'Wikipedia table'!F30</f>
        <v>294</v>
      </c>
      <c r="E3" s="3">
        <f>SUM(B3:D3)</f>
        <v>170910</v>
      </c>
    </row>
    <row r="4" spans="1:5" x14ac:dyDescent="0.2">
      <c r="A4" t="str">
        <f>'Wikipedia table'!A128</f>
        <v>Virginia Beach</v>
      </c>
      <c r="B4" s="3">
        <f>'Wikipedia table'!B128</f>
        <v>75013</v>
      </c>
      <c r="C4" s="3">
        <f>'Wikipedia table'!D128</f>
        <v>94339</v>
      </c>
      <c r="D4">
        <f>'Wikipedia table'!F128</f>
        <v>269</v>
      </c>
      <c r="E4" s="3">
        <f>SUM(B4:D4)</f>
        <v>169621</v>
      </c>
    </row>
    <row r="5" spans="1:5" x14ac:dyDescent="0.2">
      <c r="A5" t="str">
        <f>'Wikipedia table'!A75</f>
        <v>Loudoun</v>
      </c>
      <c r="B5" s="3">
        <f>'Wikipedia table'!B75</f>
        <v>59278</v>
      </c>
      <c r="C5" s="3">
        <f>'Wikipedia table'!D75</f>
        <v>108594</v>
      </c>
      <c r="D5">
        <f>'Wikipedia table'!F75</f>
        <v>444</v>
      </c>
      <c r="E5" s="3">
        <f>SUM(B5:D5)</f>
        <v>168316</v>
      </c>
    </row>
    <row r="6" spans="1:5" x14ac:dyDescent="0.2">
      <c r="A6" t="str">
        <f>'Wikipedia table'!A105</f>
        <v>Prince William</v>
      </c>
      <c r="B6" s="3">
        <f>'Wikipedia table'!B105</f>
        <v>54309</v>
      </c>
      <c r="C6" s="3">
        <f>'Wikipedia table'!D105</f>
        <v>111198</v>
      </c>
      <c r="D6">
        <f>'Wikipedia table'!F105</f>
        <v>381</v>
      </c>
      <c r="E6" s="3">
        <f>SUM(B6:D6)</f>
        <v>165888</v>
      </c>
    </row>
    <row r="7" spans="1:5" x14ac:dyDescent="0.2">
      <c r="A7" t="str">
        <f>'Wikipedia table'!A63</f>
        <v>Henrico</v>
      </c>
      <c r="B7" s="3">
        <f>'Wikipedia table'!B63</f>
        <v>45627</v>
      </c>
      <c r="C7" s="3">
        <f>'Wikipedia table'!D63</f>
        <v>103559</v>
      </c>
      <c r="D7">
        <f>'Wikipedia table'!F63</f>
        <v>260</v>
      </c>
      <c r="E7" s="3">
        <f>SUM(B7:D7)</f>
        <v>149446</v>
      </c>
    </row>
    <row r="8" spans="1:5" x14ac:dyDescent="0.2">
      <c r="A8" t="str">
        <f>'Wikipedia table'!A12</f>
        <v>Arlington</v>
      </c>
      <c r="B8" s="3">
        <f>'Wikipedia table'!B12</f>
        <v>15929</v>
      </c>
      <c r="C8" s="3">
        <f>'Wikipedia table'!D12</f>
        <v>83657</v>
      </c>
      <c r="D8">
        <f>'Wikipedia table'!F12</f>
        <v>235</v>
      </c>
      <c r="E8" s="3">
        <f>SUM(B8:D8)</f>
        <v>99821</v>
      </c>
    </row>
    <row r="9" spans="1:5" x14ac:dyDescent="0.2">
      <c r="A9" t="str">
        <f>'Wikipedia table'!A29</f>
        <v>Chesapeake</v>
      </c>
      <c r="B9" s="3">
        <f>'Wikipedia table'!B29</f>
        <v>42147</v>
      </c>
      <c r="C9" s="3">
        <f>'Wikipedia table'!D29</f>
        <v>53971</v>
      </c>
      <c r="D9">
        <f>'Wikipedia table'!F29</f>
        <v>164</v>
      </c>
      <c r="E9" s="3">
        <f>SUM(B9:D9)</f>
        <v>96282</v>
      </c>
    </row>
    <row r="10" spans="1:5" x14ac:dyDescent="0.2">
      <c r="A10" t="str">
        <f>'Wikipedia table'!A109</f>
        <v>Richmond City</v>
      </c>
      <c r="B10" s="3">
        <f>'Wikipedia table'!B109</f>
        <v>11883</v>
      </c>
      <c r="C10" s="3">
        <f>'Wikipedia table'!D109</f>
        <v>79019</v>
      </c>
      <c r="D10">
        <f>'Wikipedia table'!F109</f>
        <v>212</v>
      </c>
      <c r="E10" s="3">
        <f>SUM(B10:D10)</f>
        <v>91114</v>
      </c>
    </row>
    <row r="11" spans="1:5" x14ac:dyDescent="0.2">
      <c r="A11" t="str">
        <f>'Wikipedia table'!A90</f>
        <v>Norfolk</v>
      </c>
      <c r="B11" s="3">
        <f>'Wikipedia table'!B90</f>
        <v>15509</v>
      </c>
      <c r="C11" s="3">
        <f>'Wikipedia table'!D90</f>
        <v>48599</v>
      </c>
      <c r="D11">
        <f>'Wikipedia table'!F90</f>
        <v>111</v>
      </c>
      <c r="E11" s="3">
        <f>SUM(B11:D11)</f>
        <v>64219</v>
      </c>
    </row>
    <row r="12" spans="1:5" x14ac:dyDescent="0.2">
      <c r="A12" t="str">
        <f>'Wikipedia table'!A122</f>
        <v>Stafford</v>
      </c>
      <c r="B12" s="3">
        <f>'Wikipedia table'!B122</f>
        <v>27774</v>
      </c>
      <c r="C12" s="3">
        <f>'Wikipedia table'!D122</f>
        <v>35327</v>
      </c>
      <c r="D12">
        <f>'Wikipedia table'!F122</f>
        <v>115</v>
      </c>
      <c r="E12" s="3">
        <f>SUM(B12:D12)</f>
        <v>63216</v>
      </c>
    </row>
    <row r="13" spans="1:5" x14ac:dyDescent="0.2">
      <c r="A13" t="str">
        <f>'Wikipedia table'!A7</f>
        <v>Alexandria</v>
      </c>
      <c r="B13" s="3">
        <f>'Wikipedia table'!B7</f>
        <v>10424</v>
      </c>
      <c r="C13" s="3">
        <f>'Wikipedia table'!D7</f>
        <v>52230</v>
      </c>
      <c r="D13">
        <f>'Wikipedia table'!F7</f>
        <v>190</v>
      </c>
      <c r="E13" s="3">
        <f>SUM(B13:D13)</f>
        <v>62844</v>
      </c>
    </row>
    <row r="14" spans="1:5" x14ac:dyDescent="0.2">
      <c r="A14" t="str">
        <f>'Wikipedia table'!A61</f>
        <v>Hanover</v>
      </c>
      <c r="B14" s="3">
        <f>'Wikipedia table'!B61</f>
        <v>36278</v>
      </c>
      <c r="C14" s="3">
        <f>'Wikipedia table'!D61</f>
        <v>23994</v>
      </c>
      <c r="D14">
        <f>'Wikipedia table'!F61</f>
        <v>95</v>
      </c>
      <c r="E14" s="3">
        <f>SUM(B14:D14)</f>
        <v>60367</v>
      </c>
    </row>
    <row r="15" spans="1:5" x14ac:dyDescent="0.2">
      <c r="A15" t="str">
        <f>'Wikipedia table'!A121</f>
        <v>Spotsylvania</v>
      </c>
      <c r="B15" s="3">
        <f>'Wikipedia table'!B121</f>
        <v>29015</v>
      </c>
      <c r="C15" s="3">
        <f>'Wikipedia table'!D121</f>
        <v>30748</v>
      </c>
      <c r="D15">
        <f>'Wikipedia table'!F121</f>
        <v>104</v>
      </c>
      <c r="E15" s="3">
        <f>SUM(B15:D15)</f>
        <v>59867</v>
      </c>
    </row>
    <row r="16" spans="1:5" x14ac:dyDescent="0.2">
      <c r="A16" t="str">
        <f>'Wikipedia table'!A89</f>
        <v>Newport News</v>
      </c>
      <c r="B16" s="3">
        <f>'Wikipedia table'!B89</f>
        <v>17461</v>
      </c>
      <c r="C16" s="3">
        <f>'Wikipedia table'!D89</f>
        <v>38936</v>
      </c>
      <c r="D16">
        <f>'Wikipedia table'!F89</f>
        <v>92</v>
      </c>
      <c r="E16" s="3">
        <f>SUM(B16:D16)</f>
        <v>56489</v>
      </c>
    </row>
    <row r="17" spans="1:5" x14ac:dyDescent="0.2">
      <c r="A17" t="str">
        <f>'Wikipedia table'!A6</f>
        <v>Albemarle</v>
      </c>
      <c r="B17" s="3">
        <f>'Wikipedia table'!B6</f>
        <v>16480</v>
      </c>
      <c r="C17" s="3">
        <f>'Wikipedia table'!D6</f>
        <v>39322</v>
      </c>
      <c r="D17">
        <f>'Wikipedia table'!F6</f>
        <v>93</v>
      </c>
      <c r="E17" s="3">
        <f>SUM(B17:D17)</f>
        <v>55895</v>
      </c>
    </row>
    <row r="18" spans="1:5" x14ac:dyDescent="0.2">
      <c r="A18" t="str">
        <f>'Wikipedia table'!A60</f>
        <v>Hampton</v>
      </c>
      <c r="B18" s="3">
        <f>'Wikipedia table'!B60</f>
        <v>12103</v>
      </c>
      <c r="C18" s="3">
        <f>'Wikipedia table'!D60</f>
        <v>35129</v>
      </c>
      <c r="D18">
        <f>'Wikipedia table'!F60</f>
        <v>91</v>
      </c>
      <c r="E18" s="3">
        <f>SUM(B18:D18)</f>
        <v>47323</v>
      </c>
    </row>
    <row r="19" spans="1:5" x14ac:dyDescent="0.2">
      <c r="A19" t="str">
        <f>'Wikipedia table'!A112</f>
        <v>Roanoke County</v>
      </c>
      <c r="B19" s="3">
        <f>'Wikipedia table'!B112</f>
        <v>24728</v>
      </c>
      <c r="C19" s="3">
        <f>'Wikipedia table'!D112</f>
        <v>18062</v>
      </c>
      <c r="D19">
        <f>'Wikipedia table'!F112</f>
        <v>97</v>
      </c>
      <c r="E19" s="3">
        <f>SUM(B19:D19)</f>
        <v>42887</v>
      </c>
    </row>
    <row r="20" spans="1:5" x14ac:dyDescent="0.2">
      <c r="A20" t="str">
        <f>'Wikipedia table'!A68</f>
        <v>James City</v>
      </c>
      <c r="B20" s="3">
        <f>'Wikipedia table'!B68</f>
        <v>19029</v>
      </c>
      <c r="C20" s="3">
        <f>'Wikipedia table'!D68</f>
        <v>23603</v>
      </c>
      <c r="D20">
        <f>'Wikipedia table'!F68</f>
        <v>63</v>
      </c>
      <c r="E20" s="3">
        <f>SUM(B20:D20)</f>
        <v>42695</v>
      </c>
    </row>
    <row r="21" spans="1:5" x14ac:dyDescent="0.2">
      <c r="A21" t="str">
        <f>'Wikipedia table'!A124</f>
        <v>Suffolk</v>
      </c>
      <c r="B21" s="3">
        <f>'Wikipedia table'!B124</f>
        <v>15935</v>
      </c>
      <c r="C21" s="3">
        <f>'Wikipedia table'!D124</f>
        <v>25696</v>
      </c>
      <c r="D21">
        <f>'Wikipedia table'!F124</f>
        <v>80</v>
      </c>
      <c r="E21" s="3">
        <f>SUM(B21:D21)</f>
        <v>41711</v>
      </c>
    </row>
    <row r="22" spans="1:5" x14ac:dyDescent="0.2">
      <c r="A22" t="str">
        <f>'Wikipedia table'!A15</f>
        <v>Bedford</v>
      </c>
      <c r="B22" s="3">
        <f>'Wikipedia table'!B15</f>
        <v>29166</v>
      </c>
      <c r="C22" s="3">
        <f>'Wikipedia table'!D15</f>
        <v>10048</v>
      </c>
      <c r="D22">
        <f>'Wikipedia table'!F15</f>
        <v>57</v>
      </c>
      <c r="E22" s="3">
        <f>SUM(B22:D22)</f>
        <v>39271</v>
      </c>
    </row>
    <row r="23" spans="1:5" x14ac:dyDescent="0.2">
      <c r="A23" t="str">
        <f>'Wikipedia table'!A50</f>
        <v>Frederick</v>
      </c>
      <c r="B23" s="3">
        <f>'Wikipedia table'!B50</f>
        <v>23130</v>
      </c>
      <c r="C23" s="3">
        <f>'Wikipedia table'!D50</f>
        <v>15809</v>
      </c>
      <c r="D23">
        <f>'Wikipedia table'!F50</f>
        <v>51</v>
      </c>
      <c r="E23" s="3">
        <f>SUM(B23:D23)</f>
        <v>38990</v>
      </c>
    </row>
    <row r="24" spans="1:5" x14ac:dyDescent="0.2">
      <c r="A24" t="str">
        <f>'Wikipedia table'!A86</f>
        <v>Montgomery</v>
      </c>
      <c r="B24" s="3">
        <f>'Wikipedia table'!B86</f>
        <v>15228</v>
      </c>
      <c r="C24" s="3">
        <f>'Wikipedia table'!D86</f>
        <v>21428</v>
      </c>
      <c r="D24">
        <f>'Wikipedia table'!F86</f>
        <v>76</v>
      </c>
      <c r="E24" s="3">
        <f>SUM(B24:D24)</f>
        <v>36732</v>
      </c>
    </row>
    <row r="25" spans="1:5" x14ac:dyDescent="0.2">
      <c r="A25" t="str">
        <f>'Wikipedia table'!A114</f>
        <v>Rockingham</v>
      </c>
      <c r="B25" s="3">
        <f>'Wikipedia table'!B114</f>
        <v>24498</v>
      </c>
      <c r="C25" s="3">
        <f>'Wikipedia table'!D114</f>
        <v>11622</v>
      </c>
      <c r="D25">
        <f>'Wikipedia table'!F114</f>
        <v>76</v>
      </c>
      <c r="E25" s="3">
        <f>SUM(B25:D25)</f>
        <v>36196</v>
      </c>
    </row>
    <row r="26" spans="1:5" x14ac:dyDescent="0.2">
      <c r="A26" t="str">
        <f>'Wikipedia table'!A45</f>
        <v>Fauquier</v>
      </c>
      <c r="B26" s="3">
        <f>'Wikipedia table'!B45</f>
        <v>19894</v>
      </c>
      <c r="C26" s="3">
        <f>'Wikipedia table'!D45</f>
        <v>14610</v>
      </c>
      <c r="D26">
        <f>'Wikipedia table'!F45</f>
        <v>62</v>
      </c>
      <c r="E26" s="3">
        <f>SUM(B26:D26)</f>
        <v>34566</v>
      </c>
    </row>
    <row r="27" spans="1:5" x14ac:dyDescent="0.2">
      <c r="A27" t="str">
        <f>'Wikipedia table'!A13</f>
        <v>Augusta</v>
      </c>
      <c r="B27" s="3">
        <f>'Wikipedia table'!B13</f>
        <v>24612</v>
      </c>
      <c r="C27" s="3">
        <f>'Wikipedia table'!D13</f>
        <v>9522</v>
      </c>
      <c r="D27">
        <f>'Wikipedia table'!F13</f>
        <v>60</v>
      </c>
      <c r="E27" s="3">
        <f>SUM(B27:D27)</f>
        <v>34194</v>
      </c>
    </row>
    <row r="28" spans="1:5" x14ac:dyDescent="0.2">
      <c r="A28" t="str">
        <f>'Wikipedia table'!A137</f>
        <v>York</v>
      </c>
      <c r="B28" s="3">
        <f>'Wikipedia table'!B137</f>
        <v>15684</v>
      </c>
      <c r="C28" s="3">
        <f>'Wikipedia table'!D137</f>
        <v>15769</v>
      </c>
      <c r="D28">
        <f>'Wikipedia table'!F137</f>
        <v>47</v>
      </c>
      <c r="E28" s="3">
        <f>SUM(B28:D28)</f>
        <v>31500</v>
      </c>
    </row>
    <row r="29" spans="1:5" x14ac:dyDescent="0.2">
      <c r="A29" t="str">
        <f>'Wikipedia table'!A101</f>
        <v>Portsmouth</v>
      </c>
      <c r="B29" s="3">
        <f>'Wikipedia table'!B101</f>
        <v>8351</v>
      </c>
      <c r="C29" s="3">
        <f>'Wikipedia table'!D101</f>
        <v>23040</v>
      </c>
      <c r="D29">
        <f>'Wikipedia table'!F101</f>
        <v>62</v>
      </c>
      <c r="E29" s="3">
        <f>SUM(B29:D29)</f>
        <v>31453</v>
      </c>
    </row>
    <row r="30" spans="1:5" x14ac:dyDescent="0.2">
      <c r="A30" t="str">
        <f>'Wikipedia table'!A111</f>
        <v>Roanoke City</v>
      </c>
      <c r="B30" s="3">
        <f>'Wikipedia table'!B111</f>
        <v>10153</v>
      </c>
      <c r="C30" s="3">
        <f>'Wikipedia table'!D111</f>
        <v>20700</v>
      </c>
      <c r="D30">
        <f>'Wikipedia table'!F111</f>
        <v>83</v>
      </c>
      <c r="E30" s="3">
        <f>SUM(B30:D30)</f>
        <v>30936</v>
      </c>
    </row>
    <row r="31" spans="1:5" x14ac:dyDescent="0.2">
      <c r="A31" t="str">
        <f>'Wikipedia table'!A78</f>
        <v>Lynchburg</v>
      </c>
      <c r="B31" s="3">
        <f>'Wikipedia table'!B78</f>
        <v>13508</v>
      </c>
      <c r="C31" s="3">
        <f>'Wikipedia table'!D78</f>
        <v>13231</v>
      </c>
      <c r="D31">
        <f>'Wikipedia table'!F78</f>
        <v>56</v>
      </c>
      <c r="E31" s="3">
        <f>SUM(B31:D31)</f>
        <v>26795</v>
      </c>
    </row>
    <row r="32" spans="1:5" x14ac:dyDescent="0.2">
      <c r="A32" t="str">
        <f>'Wikipedia table'!A99</f>
        <v>Pittsylvania</v>
      </c>
      <c r="B32" s="3">
        <f>'Wikipedia table'!B99</f>
        <v>17439</v>
      </c>
      <c r="C32" s="3">
        <f>'Wikipedia table'!D99</f>
        <v>7272</v>
      </c>
      <c r="D32">
        <f>'Wikipedia table'!F99</f>
        <v>38</v>
      </c>
      <c r="E32" s="3">
        <f>SUM(B32:D32)</f>
        <v>24749</v>
      </c>
    </row>
    <row r="33" spans="1:5" x14ac:dyDescent="0.2">
      <c r="A33" t="str">
        <f>'Wikipedia table'!A49</f>
        <v>Franklin County</v>
      </c>
      <c r="B33" s="3">
        <f>'Wikipedia table'!B49</f>
        <v>16317</v>
      </c>
      <c r="C33" s="3">
        <f>'Wikipedia table'!D49</f>
        <v>6836</v>
      </c>
      <c r="D33">
        <f>'Wikipedia table'!F49</f>
        <v>36</v>
      </c>
      <c r="E33" s="3">
        <f>SUM(B33:D33)</f>
        <v>23189</v>
      </c>
    </row>
    <row r="34" spans="1:5" x14ac:dyDescent="0.2">
      <c r="A34" t="str">
        <f>'Wikipedia table'!A23</f>
        <v>Campbell</v>
      </c>
      <c r="B34" s="3">
        <f>'Wikipedia table'!B23</f>
        <v>16878</v>
      </c>
      <c r="C34" s="3">
        <f>'Wikipedia table'!D23</f>
        <v>6130</v>
      </c>
      <c r="D34">
        <f>'Wikipedia table'!F23</f>
        <v>34</v>
      </c>
      <c r="E34" s="3">
        <f>SUM(B34:D34)</f>
        <v>23042</v>
      </c>
    </row>
    <row r="35" spans="1:5" x14ac:dyDescent="0.2">
      <c r="A35" t="str">
        <f>'Wikipedia table'!A35</f>
        <v>Culpeper</v>
      </c>
      <c r="B35" s="3">
        <f>'Wikipedia table'!B35</f>
        <v>12592</v>
      </c>
      <c r="C35" s="3">
        <f>'Wikipedia table'!D35</f>
        <v>9214</v>
      </c>
      <c r="D35">
        <f>'Wikipedia table'!F35</f>
        <v>33</v>
      </c>
      <c r="E35" s="3">
        <f>SUM(B35:D35)</f>
        <v>21839</v>
      </c>
    </row>
    <row r="36" spans="1:5" x14ac:dyDescent="0.2">
      <c r="A36" t="str">
        <f>'Wikipedia table'!A130</f>
        <v>Washington</v>
      </c>
      <c r="B36" s="3">
        <f>'Wikipedia table'!B130</f>
        <v>15614</v>
      </c>
      <c r="C36" s="3">
        <f>'Wikipedia table'!D130</f>
        <v>5382</v>
      </c>
      <c r="D36">
        <f>'Wikipedia table'!F130</f>
        <v>43</v>
      </c>
      <c r="E36" s="3">
        <f>SUM(B36:D36)</f>
        <v>21039</v>
      </c>
    </row>
    <row r="37" spans="1:5" x14ac:dyDescent="0.2">
      <c r="A37" t="str">
        <f>'Wikipedia table'!A67</f>
        <v>Isle of Wight</v>
      </c>
      <c r="B37" s="3">
        <f>'Wikipedia table'!B67</f>
        <v>10931</v>
      </c>
      <c r="C37" s="3">
        <f>'Wikipedia table'!D67</f>
        <v>8227</v>
      </c>
      <c r="D37">
        <f>'Wikipedia table'!F67</f>
        <v>37</v>
      </c>
      <c r="E37" s="3">
        <f>SUM(B37:D37)</f>
        <v>19195</v>
      </c>
    </row>
    <row r="38" spans="1:5" x14ac:dyDescent="0.2">
      <c r="A38" t="str">
        <f>'Wikipedia table'!A76</f>
        <v>Louisa</v>
      </c>
      <c r="B38" s="3">
        <f>'Wikipedia table'!B76</f>
        <v>11279</v>
      </c>
      <c r="C38" s="3">
        <f>'Wikipedia table'!D76</f>
        <v>7628</v>
      </c>
      <c r="D38">
        <f>'Wikipedia table'!F76</f>
        <v>44</v>
      </c>
      <c r="E38" s="3">
        <f>SUM(B38:D38)</f>
        <v>18951</v>
      </c>
    </row>
    <row r="39" spans="1:5" x14ac:dyDescent="0.2">
      <c r="A39" t="str">
        <f>'Wikipedia table'!A28</f>
        <v>Charlottesville</v>
      </c>
      <c r="B39" s="3">
        <f>'Wikipedia table'!B28</f>
        <v>2056</v>
      </c>
      <c r="C39" s="3">
        <f>'Wikipedia table'!D28</f>
        <v>16799</v>
      </c>
      <c r="D39">
        <f>'Wikipedia table'!F28</f>
        <v>35</v>
      </c>
      <c r="E39" s="3">
        <f>SUM(B39:D39)</f>
        <v>18890</v>
      </c>
    </row>
    <row r="40" spans="1:5" x14ac:dyDescent="0.2">
      <c r="A40" t="str">
        <f>'Wikipedia table'!A118</f>
        <v>Shenandoah</v>
      </c>
      <c r="B40" s="3">
        <f>'Wikipedia table'!B118</f>
        <v>12488</v>
      </c>
      <c r="C40" s="3">
        <f>'Wikipedia table'!D118</f>
        <v>5698</v>
      </c>
      <c r="D40">
        <f>'Wikipedia table'!F118</f>
        <v>37</v>
      </c>
      <c r="E40" s="3">
        <f>SUM(B40:D40)</f>
        <v>18223</v>
      </c>
    </row>
    <row r="41" spans="1:5" x14ac:dyDescent="0.2">
      <c r="A41" t="str">
        <f>'Wikipedia table'!A64</f>
        <v>Henry</v>
      </c>
      <c r="B41" s="3">
        <f>'Wikipedia table'!B64</f>
        <v>11150</v>
      </c>
      <c r="C41" s="3">
        <f>'Wikipedia table'!D64</f>
        <v>6320</v>
      </c>
      <c r="D41">
        <f>'Wikipedia table'!F64</f>
        <v>30</v>
      </c>
      <c r="E41" s="3">
        <f>SUM(B41:D41)</f>
        <v>17500</v>
      </c>
    </row>
    <row r="42" spans="1:5" x14ac:dyDescent="0.2">
      <c r="A42" t="str">
        <f>'Wikipedia table'!A54</f>
        <v>Gloucester</v>
      </c>
      <c r="B42" s="3">
        <f>'Wikipedia table'!B54</f>
        <v>11399</v>
      </c>
      <c r="C42" s="3">
        <f>'Wikipedia table'!D54</f>
        <v>5912</v>
      </c>
      <c r="D42">
        <f>'Wikipedia table'!F54</f>
        <v>30</v>
      </c>
      <c r="E42" s="3">
        <f>SUM(B42:D42)</f>
        <v>17341</v>
      </c>
    </row>
    <row r="43" spans="1:5" x14ac:dyDescent="0.2">
      <c r="A43" t="str">
        <f>'Wikipedia table'!A95</f>
        <v>Orange</v>
      </c>
      <c r="B43" s="3">
        <f>'Wikipedia table'!B95</f>
        <v>9938</v>
      </c>
      <c r="C43" s="3">
        <f>'Wikipedia table'!D95</f>
        <v>7361</v>
      </c>
      <c r="D43">
        <f>'Wikipedia table'!F95</f>
        <v>33</v>
      </c>
      <c r="E43" s="3">
        <f>SUM(B43:D43)</f>
        <v>17332</v>
      </c>
    </row>
    <row r="44" spans="1:5" x14ac:dyDescent="0.2">
      <c r="A44" t="str">
        <f>'Wikipedia table'!A55</f>
        <v>Goochland</v>
      </c>
      <c r="B44" s="3">
        <f>'Wikipedia table'!B55</f>
        <v>9726</v>
      </c>
      <c r="C44" s="3">
        <f>'Wikipedia table'!D55</f>
        <v>7339</v>
      </c>
      <c r="D44">
        <f>'Wikipedia table'!F55</f>
        <v>24</v>
      </c>
      <c r="E44" s="3">
        <f>SUM(B44:D44)</f>
        <v>17089</v>
      </c>
    </row>
    <row r="45" spans="1:5" x14ac:dyDescent="0.2">
      <c r="A45" t="str">
        <f>'Wikipedia table'!A102</f>
        <v>Powhatan</v>
      </c>
      <c r="B45" s="3">
        <f>'Wikipedia table'!B102</f>
        <v>11862</v>
      </c>
      <c r="C45" s="3">
        <f>'Wikipedia table'!D102</f>
        <v>5168</v>
      </c>
      <c r="D45">
        <f>'Wikipedia table'!F102</f>
        <v>21</v>
      </c>
      <c r="E45" s="3">
        <f>SUM(B45:D45)</f>
        <v>17051</v>
      </c>
    </row>
    <row r="46" spans="1:5" x14ac:dyDescent="0.2">
      <c r="A46" t="str">
        <f>'Wikipedia table'!A17</f>
        <v>Botetourt</v>
      </c>
      <c r="B46" s="3">
        <f>'Wikipedia table'!B17</f>
        <v>11820</v>
      </c>
      <c r="C46" s="3">
        <f>'Wikipedia table'!D17</f>
        <v>4969</v>
      </c>
      <c r="D46">
        <f>'Wikipedia table'!F17</f>
        <v>32</v>
      </c>
      <c r="E46" s="3">
        <f>SUM(B46:D46)</f>
        <v>16821</v>
      </c>
    </row>
    <row r="47" spans="1:5" x14ac:dyDescent="0.2">
      <c r="A47" t="str">
        <f>'Wikipedia table'!A129</f>
        <v>Warren</v>
      </c>
      <c r="B47" s="3">
        <f>'Wikipedia table'!B129</f>
        <v>10433</v>
      </c>
      <c r="C47" s="3">
        <f>'Wikipedia table'!D129</f>
        <v>5757</v>
      </c>
      <c r="D47">
        <f>'Wikipedia table'!F129</f>
        <v>39</v>
      </c>
      <c r="E47" s="3">
        <f>SUM(B47:D47)</f>
        <v>16229</v>
      </c>
    </row>
    <row r="48" spans="1:5" x14ac:dyDescent="0.2">
      <c r="A48" t="str">
        <f>'Wikipedia table'!A88</f>
        <v>New Kent</v>
      </c>
      <c r="B48" s="3">
        <f>'Wikipedia table'!B88</f>
        <v>8804</v>
      </c>
      <c r="C48" s="3">
        <f>'Wikipedia table'!D88</f>
        <v>5087</v>
      </c>
      <c r="D48">
        <f>'Wikipedia table'!F88</f>
        <v>22</v>
      </c>
      <c r="E48" s="3">
        <f>SUM(B48:D48)</f>
        <v>13913</v>
      </c>
    </row>
    <row r="49" spans="1:5" x14ac:dyDescent="0.2">
      <c r="A49" t="str">
        <f>'Wikipedia table'!A104</f>
        <v>Prince George</v>
      </c>
      <c r="B49" s="3">
        <f>'Wikipedia table'!B104</f>
        <v>7986</v>
      </c>
      <c r="C49" s="3">
        <f>'Wikipedia table'!D104</f>
        <v>5707</v>
      </c>
      <c r="D49">
        <f>'Wikipedia table'!F104</f>
        <v>13</v>
      </c>
      <c r="E49" s="3">
        <f>SUM(B49:D49)</f>
        <v>13706</v>
      </c>
    </row>
    <row r="50" spans="1:5" x14ac:dyDescent="0.2">
      <c r="A50" t="str">
        <f>'Wikipedia table'!A47</f>
        <v>Fluvanna</v>
      </c>
      <c r="B50" s="3">
        <f>'Wikipedia table'!B47</f>
        <v>6718</v>
      </c>
      <c r="C50" s="3">
        <f>'Wikipedia table'!D47</f>
        <v>6712</v>
      </c>
      <c r="D50">
        <f>'Wikipedia table'!F47</f>
        <v>19</v>
      </c>
      <c r="E50" s="3">
        <f>SUM(B50:D50)</f>
        <v>13449</v>
      </c>
    </row>
    <row r="51" spans="1:5" x14ac:dyDescent="0.2">
      <c r="A51" t="str">
        <f>'Wikipedia table'!A24</f>
        <v>Caroline</v>
      </c>
      <c r="B51" s="3">
        <f>'Wikipedia table'!B24</f>
        <v>6680</v>
      </c>
      <c r="C51" s="3">
        <f>'Wikipedia table'!D24</f>
        <v>6733</v>
      </c>
      <c r="D51">
        <f>'Wikipedia table'!F24</f>
        <v>23</v>
      </c>
      <c r="E51" s="3">
        <f>SUM(B51:D51)</f>
        <v>13436</v>
      </c>
    </row>
    <row r="52" spans="1:5" x14ac:dyDescent="0.2">
      <c r="A52" t="str">
        <f>'Wikipedia table'!A59</f>
        <v>Halifax</v>
      </c>
      <c r="B52" s="3">
        <f>'Wikipedia table'!B59</f>
        <v>8027</v>
      </c>
      <c r="C52" s="3">
        <f>'Wikipedia table'!D59</f>
        <v>5272</v>
      </c>
      <c r="D52">
        <f>'Wikipedia table'!F59</f>
        <v>22</v>
      </c>
      <c r="E52" s="3">
        <f>SUM(B52:D52)</f>
        <v>13321</v>
      </c>
    </row>
    <row r="53" spans="1:5" x14ac:dyDescent="0.2">
      <c r="A53" t="str">
        <f>'Wikipedia table'!A62</f>
        <v>Harrisonburg</v>
      </c>
      <c r="B53" s="3">
        <f>'Wikipedia table'!B62</f>
        <v>3654</v>
      </c>
      <c r="C53" s="3">
        <f>'Wikipedia table'!D62</f>
        <v>9512</v>
      </c>
      <c r="D53">
        <f>'Wikipedia table'!F62</f>
        <v>23</v>
      </c>
      <c r="E53" s="3">
        <f>SUM(B53:D53)</f>
        <v>13189</v>
      </c>
    </row>
    <row r="54" spans="1:5" x14ac:dyDescent="0.2">
      <c r="A54" t="str">
        <f>'Wikipedia table'!A10</f>
        <v>Amherst</v>
      </c>
      <c r="B54" s="3">
        <f>'Wikipedia table'!B10</f>
        <v>8811</v>
      </c>
      <c r="C54" s="3">
        <f>'Wikipedia table'!D10</f>
        <v>4294</v>
      </c>
      <c r="D54">
        <f>'Wikipedia table'!F10</f>
        <v>20</v>
      </c>
      <c r="E54" s="3">
        <f>SUM(B54:D54)</f>
        <v>13125</v>
      </c>
    </row>
    <row r="55" spans="1:5" x14ac:dyDescent="0.2">
      <c r="A55" t="str">
        <f>'Wikipedia table'!A5</f>
        <v>Accomack</v>
      </c>
      <c r="B55" s="3">
        <f>'Wikipedia table'!B5</f>
        <v>7129</v>
      </c>
      <c r="C55" s="3">
        <f>'Wikipedia table'!D5</f>
        <v>5925</v>
      </c>
      <c r="D55">
        <f>'Wikipedia table'!F5</f>
        <v>10</v>
      </c>
      <c r="E55" s="3">
        <f>SUM(B55:D55)</f>
        <v>13064</v>
      </c>
    </row>
    <row r="56" spans="1:5" x14ac:dyDescent="0.2">
      <c r="A56" t="str">
        <f>'Wikipedia table'!A127</f>
        <v>Tazewell</v>
      </c>
      <c r="B56" s="3">
        <f>'Wikipedia table'!B127</f>
        <v>10407</v>
      </c>
      <c r="C56" s="3">
        <f>'Wikipedia table'!D127</f>
        <v>2248</v>
      </c>
      <c r="D56">
        <f>'Wikipedia table'!F127</f>
        <v>21</v>
      </c>
      <c r="E56" s="3">
        <f>SUM(B56:D56)</f>
        <v>12676</v>
      </c>
    </row>
    <row r="57" spans="1:5" x14ac:dyDescent="0.2">
      <c r="A57" t="str">
        <f>'Wikipedia table'!A106</f>
        <v>Pulaski</v>
      </c>
      <c r="B57" s="3">
        <f>'Wikipedia table'!B106</f>
        <v>8607</v>
      </c>
      <c r="C57" s="3">
        <f>'Wikipedia table'!D106</f>
        <v>3927</v>
      </c>
      <c r="D57">
        <f>'Wikipedia table'!F106</f>
        <v>22</v>
      </c>
      <c r="E57" s="3">
        <f>SUM(B57:D57)</f>
        <v>12556</v>
      </c>
    </row>
    <row r="58" spans="1:5" x14ac:dyDescent="0.2">
      <c r="A58" t="str">
        <f>'Wikipedia table'!A37</f>
        <v>Danville</v>
      </c>
      <c r="B58" s="3">
        <f>'Wikipedia table'!B37</f>
        <v>4592</v>
      </c>
      <c r="C58" s="3">
        <f>'Wikipedia table'!D37</f>
        <v>7678</v>
      </c>
      <c r="D58">
        <f>'Wikipedia table'!F37</f>
        <v>29</v>
      </c>
      <c r="E58" s="3">
        <f>SUM(B58:D58)</f>
        <v>12299</v>
      </c>
    </row>
    <row r="59" spans="1:5" x14ac:dyDescent="0.2">
      <c r="A59" t="str">
        <f>'Wikipedia table'!A39</f>
        <v>Dinwiddie</v>
      </c>
      <c r="B59" s="3">
        <f>'Wikipedia table'!B39</f>
        <v>7028</v>
      </c>
      <c r="C59" s="3">
        <f>'Wikipedia table'!D39</f>
        <v>5031</v>
      </c>
      <c r="D59">
        <f>'Wikipedia table'!F39</f>
        <v>19</v>
      </c>
      <c r="E59" s="3">
        <f>SUM(B59:D59)</f>
        <v>12078</v>
      </c>
    </row>
    <row r="60" spans="1:5" x14ac:dyDescent="0.2">
      <c r="A60" t="str">
        <f>'Wikipedia table'!A84</f>
        <v>Mecklenburg</v>
      </c>
      <c r="B60" s="3">
        <f>'Wikipedia table'!B84</f>
        <v>7151</v>
      </c>
      <c r="C60" s="3">
        <f>'Wikipedia table'!D84</f>
        <v>4657</v>
      </c>
      <c r="D60">
        <f>'Wikipedia table'!F84</f>
        <v>11</v>
      </c>
      <c r="E60" s="3">
        <f>SUM(B60:D60)</f>
        <v>11819</v>
      </c>
    </row>
    <row r="61" spans="1:5" x14ac:dyDescent="0.2">
      <c r="A61" t="str">
        <f>'Wikipedia table'!A80</f>
        <v>Manassas</v>
      </c>
      <c r="B61" s="3">
        <f>'Wikipedia table'!B80</f>
        <v>4036</v>
      </c>
      <c r="C61" s="3">
        <f>'Wikipedia table'!D80</f>
        <v>7671</v>
      </c>
      <c r="D61">
        <f>'Wikipedia table'!F80</f>
        <v>18</v>
      </c>
      <c r="E61" s="3">
        <f>SUM(B61:D61)</f>
        <v>11725</v>
      </c>
    </row>
    <row r="62" spans="1:5" x14ac:dyDescent="0.2">
      <c r="A62" t="str">
        <f>'Wikipedia table'!A70</f>
        <v>King George</v>
      </c>
      <c r="B62" s="3">
        <f>'Wikipedia table'!B70</f>
        <v>6909</v>
      </c>
      <c r="C62" s="3">
        <f>'Wikipedia table'!D70</f>
        <v>4716</v>
      </c>
      <c r="D62">
        <f>'Wikipedia table'!F70</f>
        <v>20</v>
      </c>
      <c r="E62" s="3">
        <f>SUM(B62:D62)</f>
        <v>11645</v>
      </c>
    </row>
    <row r="63" spans="1:5" x14ac:dyDescent="0.2">
      <c r="A63" t="str">
        <f>'Wikipedia table'!A25</f>
        <v>Carroll</v>
      </c>
      <c r="B63" s="3">
        <f>'Wikipedia table'!B25</f>
        <v>8889</v>
      </c>
      <c r="C63" s="3">
        <f>'Wikipedia table'!D25</f>
        <v>2433</v>
      </c>
      <c r="D63">
        <f>'Wikipedia table'!F25</f>
        <v>26</v>
      </c>
      <c r="E63" s="3">
        <f>SUM(B63:D63)</f>
        <v>11348</v>
      </c>
    </row>
    <row r="64" spans="1:5" x14ac:dyDescent="0.2">
      <c r="A64" t="str">
        <f>'Wikipedia table'!A135</f>
        <v>Wise</v>
      </c>
      <c r="B64" s="3">
        <f>'Wikipedia table'!B135</f>
        <v>8744</v>
      </c>
      <c r="C64" s="3">
        <f>'Wikipedia table'!D135</f>
        <v>2281</v>
      </c>
      <c r="D64">
        <f>'Wikipedia table'!F135</f>
        <v>22</v>
      </c>
      <c r="E64" s="3">
        <f>SUM(B64:D64)</f>
        <v>11047</v>
      </c>
    </row>
    <row r="65" spans="1:5" x14ac:dyDescent="0.2">
      <c r="A65" t="str">
        <f>'Wikipedia table'!A136</f>
        <v>Wythe</v>
      </c>
      <c r="B65" s="3">
        <f>'Wikipedia table'!B136</f>
        <v>8426</v>
      </c>
      <c r="C65" s="3">
        <f>'Wikipedia table'!D136</f>
        <v>2594</v>
      </c>
      <c r="D65">
        <f>'Wikipedia table'!F136</f>
        <v>24</v>
      </c>
      <c r="E65" s="3">
        <f>SUM(B65:D65)</f>
        <v>11044</v>
      </c>
    </row>
    <row r="66" spans="1:5" x14ac:dyDescent="0.2">
      <c r="A66" t="str">
        <f>'Wikipedia table'!A123</f>
        <v>Staunton</v>
      </c>
      <c r="B66" s="3">
        <f>'Wikipedia table'!B123</f>
        <v>4236</v>
      </c>
      <c r="C66" s="3">
        <f>'Wikipedia table'!D123</f>
        <v>6580</v>
      </c>
      <c r="D66">
        <f>'Wikipedia table'!F123</f>
        <v>18</v>
      </c>
      <c r="E66" s="3">
        <f>SUM(B66:D66)</f>
        <v>10834</v>
      </c>
    </row>
    <row r="67" spans="1:5" x14ac:dyDescent="0.2">
      <c r="A67" t="str">
        <f>'Wikipedia table'!A51</f>
        <v>Fredericksburg</v>
      </c>
      <c r="B67" s="3">
        <f>'Wikipedia table'!B51</f>
        <v>2943</v>
      </c>
      <c r="C67" s="3">
        <f>'Wikipedia table'!D51</f>
        <v>7561</v>
      </c>
      <c r="D67">
        <f>'Wikipedia table'!F51</f>
        <v>33</v>
      </c>
      <c r="E67" s="3">
        <f>SUM(B67:D67)</f>
        <v>10537</v>
      </c>
    </row>
    <row r="68" spans="1:5" x14ac:dyDescent="0.2">
      <c r="A68" t="str">
        <f>'Wikipedia table'!A42</f>
        <v>Fairfax City</v>
      </c>
      <c r="B68" s="3">
        <f>'Wikipedia table'!B42</f>
        <v>2847</v>
      </c>
      <c r="C68" s="3">
        <f>'Wikipedia table'!D42</f>
        <v>7552</v>
      </c>
      <c r="D68">
        <f>'Wikipedia table'!F42</f>
        <v>36</v>
      </c>
      <c r="E68" s="3">
        <f>SUM(B68:D68)</f>
        <v>10435</v>
      </c>
    </row>
    <row r="69" spans="1:5" x14ac:dyDescent="0.2">
      <c r="A69" t="str">
        <f>'Wikipedia table'!A113</f>
        <v>Rockbridge</v>
      </c>
      <c r="B69" s="3">
        <f>'Wikipedia table'!B113</f>
        <v>6599</v>
      </c>
      <c r="C69" s="3">
        <f>'Wikipedia table'!D113</f>
        <v>3557</v>
      </c>
      <c r="D69">
        <f>'Wikipedia table'!F113</f>
        <v>7</v>
      </c>
      <c r="E69" s="3">
        <f>SUM(B69:D69)</f>
        <v>10163</v>
      </c>
    </row>
    <row r="70" spans="1:5" x14ac:dyDescent="0.2">
      <c r="A70" t="str">
        <f>'Wikipedia table'!A119</f>
        <v>Smyth</v>
      </c>
      <c r="B70" s="3">
        <f>'Wikipedia table'!B119</f>
        <v>7712</v>
      </c>
      <c r="C70" s="3">
        <f>'Wikipedia table'!D119</f>
        <v>2298</v>
      </c>
      <c r="D70">
        <f>'Wikipedia table'!F119</f>
        <v>18</v>
      </c>
      <c r="E70" s="3">
        <f>SUM(B70:D70)</f>
        <v>10028</v>
      </c>
    </row>
    <row r="71" spans="1:5" x14ac:dyDescent="0.2">
      <c r="A71" t="str">
        <f>'Wikipedia table'!A98</f>
        <v>Petersburg</v>
      </c>
      <c r="B71" s="3">
        <f>'Wikipedia table'!B98</f>
        <v>1124</v>
      </c>
      <c r="C71" s="3">
        <f>'Wikipedia table'!D98</f>
        <v>8811</v>
      </c>
      <c r="D71">
        <f>'Wikipedia table'!F98</f>
        <v>25</v>
      </c>
      <c r="E71" s="3">
        <f>SUM(B71:D71)</f>
        <v>9960</v>
      </c>
    </row>
    <row r="72" spans="1:5" x14ac:dyDescent="0.2">
      <c r="A72" t="str">
        <f>'Wikipedia table'!A57</f>
        <v>Greene</v>
      </c>
      <c r="B72" s="3">
        <f>'Wikipedia table'!B57</f>
        <v>5458</v>
      </c>
      <c r="C72" s="3">
        <f>'Wikipedia table'!D57</f>
        <v>4036</v>
      </c>
      <c r="D72">
        <f>'Wikipedia table'!F57</f>
        <v>16</v>
      </c>
      <c r="E72" s="3">
        <f>SUM(B72:D72)</f>
        <v>9510</v>
      </c>
    </row>
    <row r="73" spans="1:5" x14ac:dyDescent="0.2">
      <c r="A73" t="str">
        <f>'Wikipedia table'!A116</f>
        <v>Salem</v>
      </c>
      <c r="B73" s="3">
        <f>'Wikipedia table'!B116</f>
        <v>5282</v>
      </c>
      <c r="C73" s="3">
        <f>'Wikipedia table'!D116</f>
        <v>4150</v>
      </c>
      <c r="D73">
        <f>'Wikipedia table'!F116</f>
        <v>32</v>
      </c>
      <c r="E73" s="3">
        <f>SUM(B73:D73)</f>
        <v>9464</v>
      </c>
    </row>
    <row r="74" spans="1:5" x14ac:dyDescent="0.2">
      <c r="A74" t="str">
        <f>'Wikipedia table'!A96</f>
        <v>Page</v>
      </c>
      <c r="B74" s="3">
        <f>'Wikipedia table'!B96</f>
        <v>6940</v>
      </c>
      <c r="C74" s="3">
        <f>'Wikipedia table'!D96</f>
        <v>2365</v>
      </c>
      <c r="D74">
        <f>'Wikipedia table'!F96</f>
        <v>24</v>
      </c>
      <c r="E74" s="3">
        <f>SUM(B74:D74)</f>
        <v>9329</v>
      </c>
    </row>
    <row r="75" spans="1:5" x14ac:dyDescent="0.2">
      <c r="A75" t="str">
        <f>'Wikipedia table'!A71</f>
        <v>King William</v>
      </c>
      <c r="B75" s="3">
        <f>'Wikipedia table'!B71</f>
        <v>6033</v>
      </c>
      <c r="C75" s="3">
        <f>'Wikipedia table'!D71</f>
        <v>3020</v>
      </c>
      <c r="D75">
        <f>'Wikipedia table'!F71</f>
        <v>11</v>
      </c>
      <c r="E75" s="3">
        <f>SUM(B75:D75)</f>
        <v>9064</v>
      </c>
    </row>
    <row r="76" spans="1:5" x14ac:dyDescent="0.2">
      <c r="A76" t="str">
        <f>'Wikipedia table'!A115</f>
        <v>Russell</v>
      </c>
      <c r="B76" s="3">
        <f>'Wikipedia table'!B115</f>
        <v>7268</v>
      </c>
      <c r="C76" s="3">
        <f>'Wikipedia table'!D115</f>
        <v>1673</v>
      </c>
      <c r="D76">
        <f>'Wikipedia table'!F115</f>
        <v>17</v>
      </c>
      <c r="E76" s="3">
        <f>SUM(B76:D76)</f>
        <v>8958</v>
      </c>
    </row>
    <row r="77" spans="1:5" x14ac:dyDescent="0.2">
      <c r="A77" t="str">
        <f>'Wikipedia table'!A134</f>
        <v>Winchester</v>
      </c>
      <c r="B77" s="3">
        <f>'Wikipedia table'!B134</f>
        <v>3485</v>
      </c>
      <c r="C77" s="3">
        <f>'Wikipedia table'!D134</f>
        <v>5318</v>
      </c>
      <c r="D77">
        <f>'Wikipedia table'!F134</f>
        <v>16</v>
      </c>
      <c r="E77" s="3">
        <f>SUM(B77:D77)</f>
        <v>8819</v>
      </c>
    </row>
    <row r="78" spans="1:5" x14ac:dyDescent="0.2">
      <c r="A78" t="str">
        <f>'Wikipedia table'!A131</f>
        <v>Waynesboro</v>
      </c>
      <c r="B78" s="3">
        <f>'Wikipedia table'!B131</f>
        <v>4037</v>
      </c>
      <c r="C78" s="3">
        <f>'Wikipedia table'!D131</f>
        <v>4459</v>
      </c>
      <c r="D78">
        <f>'Wikipedia table'!F131</f>
        <v>11</v>
      </c>
      <c r="E78" s="3">
        <f>SUM(B78:D78)</f>
        <v>8507</v>
      </c>
    </row>
    <row r="79" spans="1:5" x14ac:dyDescent="0.2">
      <c r="A79" t="str">
        <f>'Wikipedia table'!A132</f>
        <v>Westmoreland</v>
      </c>
      <c r="B79" s="3">
        <f>'Wikipedia table'!B132</f>
        <v>4396</v>
      </c>
      <c r="C79" s="3">
        <f>'Wikipedia table'!D132</f>
        <v>3733</v>
      </c>
      <c r="D79">
        <f>'Wikipedia table'!F132</f>
        <v>8</v>
      </c>
      <c r="E79" s="3">
        <f>SUM(B79:D79)</f>
        <v>8137</v>
      </c>
    </row>
    <row r="80" spans="1:5" x14ac:dyDescent="0.2">
      <c r="A80" t="str">
        <f>'Wikipedia table'!A87</f>
        <v>Nelson</v>
      </c>
      <c r="B80" s="3">
        <f>'Wikipedia table'!B87</f>
        <v>3828</v>
      </c>
      <c r="C80" s="3">
        <f>'Wikipedia table'!D87</f>
        <v>3880</v>
      </c>
      <c r="D80">
        <f>'Wikipedia table'!F87</f>
        <v>17</v>
      </c>
      <c r="E80" s="3">
        <f>SUM(B80:D80)</f>
        <v>7725</v>
      </c>
    </row>
    <row r="81" spans="1:5" x14ac:dyDescent="0.2">
      <c r="A81" t="str">
        <f>'Wikipedia table'!A31</f>
        <v>Clarke</v>
      </c>
      <c r="B81" s="3">
        <f>'Wikipedia table'!B31</f>
        <v>4222</v>
      </c>
      <c r="C81" s="3">
        <f>'Wikipedia table'!D31</f>
        <v>3389</v>
      </c>
      <c r="D81">
        <f>'Wikipedia table'!F31</f>
        <v>18</v>
      </c>
      <c r="E81" s="3">
        <f>SUM(B81:D81)</f>
        <v>7629</v>
      </c>
    </row>
    <row r="82" spans="1:5" x14ac:dyDescent="0.2">
      <c r="A82" t="str">
        <f>'Wikipedia table'!A44</f>
        <v>Falls Church</v>
      </c>
      <c r="B82" s="3">
        <f>'Wikipedia table'!B44</f>
        <v>1181</v>
      </c>
      <c r="C82" s="3">
        <f>'Wikipedia table'!D44</f>
        <v>6407</v>
      </c>
      <c r="D82">
        <f>'Wikipedia table'!F44</f>
        <v>12</v>
      </c>
      <c r="E82" s="3">
        <f>SUM(B82:D82)</f>
        <v>7600</v>
      </c>
    </row>
    <row r="83" spans="1:5" x14ac:dyDescent="0.2">
      <c r="A83" t="str">
        <f>'Wikipedia table'!A103</f>
        <v>Prince Edward</v>
      </c>
      <c r="B83" s="3">
        <f>'Wikipedia table'!B103</f>
        <v>3668</v>
      </c>
      <c r="C83" s="3">
        <f>'Wikipedia table'!D103</f>
        <v>3767</v>
      </c>
      <c r="D83">
        <f>'Wikipedia table'!F103</f>
        <v>20</v>
      </c>
      <c r="E83" s="3">
        <f>SUM(B83:D83)</f>
        <v>7455</v>
      </c>
    </row>
    <row r="84" spans="1:5" x14ac:dyDescent="0.2">
      <c r="A84" t="str">
        <f>'Wikipedia table'!A120</f>
        <v>Southampton</v>
      </c>
      <c r="B84" s="3">
        <f>'Wikipedia table'!B120</f>
        <v>4492</v>
      </c>
      <c r="C84" s="3">
        <f>'Wikipedia table'!D120</f>
        <v>2945</v>
      </c>
      <c r="D84">
        <f>'Wikipedia table'!F120</f>
        <v>8</v>
      </c>
      <c r="E84" s="3">
        <f>SUM(B84:D84)</f>
        <v>7445</v>
      </c>
    </row>
    <row r="85" spans="1:5" x14ac:dyDescent="0.2">
      <c r="A85" t="str">
        <f>'Wikipedia table'!A46</f>
        <v>Floyd</v>
      </c>
      <c r="B85" s="3">
        <f>'Wikipedia table'!B46</f>
        <v>4806</v>
      </c>
      <c r="C85" s="3">
        <f>'Wikipedia table'!D46</f>
        <v>2603</v>
      </c>
      <c r="D85">
        <f>'Wikipedia table'!F46</f>
        <v>16</v>
      </c>
      <c r="E85" s="3">
        <f>SUM(B85:D85)</f>
        <v>7425</v>
      </c>
    </row>
    <row r="86" spans="1:5" x14ac:dyDescent="0.2">
      <c r="A86" t="str">
        <f>'Wikipedia table'!A11</f>
        <v>Appomattox</v>
      </c>
      <c r="B86" s="3">
        <f>'Wikipedia table'!B11</f>
        <v>5609</v>
      </c>
      <c r="C86" s="3">
        <f>'Wikipedia table'!D11</f>
        <v>1765</v>
      </c>
      <c r="D86">
        <f>'Wikipedia table'!F11</f>
        <v>12</v>
      </c>
      <c r="E86" s="3">
        <f>SUM(B86:D86)</f>
        <v>7386</v>
      </c>
    </row>
    <row r="87" spans="1:5" x14ac:dyDescent="0.2">
      <c r="A87" t="str">
        <f>'Wikipedia table'!A117</f>
        <v>Scott</v>
      </c>
      <c r="B87" s="3">
        <f>'Wikipedia table'!B117</f>
        <v>6103</v>
      </c>
      <c r="C87" s="3">
        <f>'Wikipedia table'!D117</f>
        <v>1235</v>
      </c>
      <c r="D87">
        <f>'Wikipedia table'!F117</f>
        <v>15</v>
      </c>
      <c r="E87" s="3">
        <f>SUM(B87:D87)</f>
        <v>7353</v>
      </c>
    </row>
    <row r="88" spans="1:5" x14ac:dyDescent="0.2">
      <c r="A88" t="str">
        <f>'Wikipedia table'!A92</f>
        <v>Northumberland</v>
      </c>
      <c r="B88" s="3">
        <f>'Wikipedia table'!B92</f>
        <v>4132</v>
      </c>
      <c r="C88" s="3">
        <f>'Wikipedia table'!D92</f>
        <v>2685</v>
      </c>
      <c r="D88">
        <f>'Wikipedia table'!F92</f>
        <v>16</v>
      </c>
      <c r="E88" s="3">
        <f>SUM(B88:D88)</f>
        <v>6833</v>
      </c>
    </row>
    <row r="89" spans="1:5" x14ac:dyDescent="0.2">
      <c r="A89" t="str">
        <f>'Wikipedia table'!A53</f>
        <v>Giles</v>
      </c>
      <c r="B89" s="3">
        <f>'Wikipedia table'!B53</f>
        <v>4983</v>
      </c>
      <c r="C89" s="3">
        <f>'Wikipedia table'!D53</f>
        <v>1782</v>
      </c>
      <c r="D89">
        <f>'Wikipedia table'!F53</f>
        <v>16</v>
      </c>
      <c r="E89" s="3">
        <f>SUM(B89:D89)</f>
        <v>6781</v>
      </c>
    </row>
    <row r="90" spans="1:5" x14ac:dyDescent="0.2">
      <c r="A90" t="str">
        <f>'Wikipedia table'!A133</f>
        <v>Williamsburg</v>
      </c>
      <c r="B90" s="3">
        <f>'Wikipedia table'!B133</f>
        <v>1647</v>
      </c>
      <c r="C90" s="3">
        <f>'Wikipedia table'!D133</f>
        <v>5063</v>
      </c>
      <c r="D90">
        <f>'Wikipedia table'!F133</f>
        <v>9</v>
      </c>
      <c r="E90" s="3">
        <f>SUM(B90:D90)</f>
        <v>6719</v>
      </c>
    </row>
    <row r="91" spans="1:5" x14ac:dyDescent="0.2">
      <c r="A91" t="str">
        <f>'Wikipedia table'!A66</f>
        <v>Hopewell</v>
      </c>
      <c r="B91" s="3">
        <f>'Wikipedia table'!B66</f>
        <v>2610</v>
      </c>
      <c r="C91" s="3">
        <f>'Wikipedia table'!D66</f>
        <v>4052</v>
      </c>
      <c r="D91">
        <f>'Wikipedia table'!F66</f>
        <v>13</v>
      </c>
      <c r="E91" s="3">
        <f>SUM(B91:D91)</f>
        <v>6675</v>
      </c>
    </row>
    <row r="92" spans="1:5" x14ac:dyDescent="0.2">
      <c r="A92" t="str">
        <f>'Wikipedia table'!A79</f>
        <v>Madison</v>
      </c>
      <c r="B92" s="3">
        <f>'Wikipedia table'!B79</f>
        <v>4259</v>
      </c>
      <c r="C92" s="3">
        <f>'Wikipedia table'!D79</f>
        <v>2386</v>
      </c>
      <c r="D92">
        <f>'Wikipedia table'!F79</f>
        <v>9</v>
      </c>
      <c r="E92" s="3">
        <f>SUM(B92:D92)</f>
        <v>6654</v>
      </c>
    </row>
    <row r="93" spans="1:5" x14ac:dyDescent="0.2">
      <c r="A93" t="str">
        <f>'Wikipedia table'!A97</f>
        <v>Patrick</v>
      </c>
      <c r="B93" s="3">
        <f>'Wikipedia table'!B97</f>
        <v>5119</v>
      </c>
      <c r="C93" s="3">
        <f>'Wikipedia table'!D97</f>
        <v>1488</v>
      </c>
      <c r="D93">
        <f>'Wikipedia table'!F97</f>
        <v>5</v>
      </c>
      <c r="E93" s="3">
        <f>SUM(B93:D93)</f>
        <v>6612</v>
      </c>
    </row>
    <row r="94" spans="1:5" x14ac:dyDescent="0.2">
      <c r="A94" t="str">
        <f>'Wikipedia table'!A32</f>
        <v>Colonial Heights</v>
      </c>
      <c r="B94" s="3">
        <f>'Wikipedia table'!B32</f>
        <v>4092</v>
      </c>
      <c r="C94" s="3">
        <f>'Wikipedia table'!D32</f>
        <v>2474</v>
      </c>
      <c r="D94">
        <f>'Wikipedia table'!F32</f>
        <v>21</v>
      </c>
      <c r="E94" s="3">
        <f>SUM(B94:D94)</f>
        <v>6587</v>
      </c>
    </row>
    <row r="95" spans="1:5" x14ac:dyDescent="0.2">
      <c r="A95" t="str">
        <f>'Wikipedia table'!A73</f>
        <v>Lee</v>
      </c>
      <c r="B95" s="3">
        <f>'Wikipedia table'!B73</f>
        <v>5439</v>
      </c>
      <c r="C95" s="3">
        <f>'Wikipedia table'!D73</f>
        <v>1019</v>
      </c>
      <c r="D95">
        <f>'Wikipedia table'!F73</f>
        <v>7</v>
      </c>
      <c r="E95" s="3">
        <f>SUM(B95:D95)</f>
        <v>6465</v>
      </c>
    </row>
    <row r="96" spans="1:5" x14ac:dyDescent="0.2">
      <c r="A96" t="str">
        <f>'Wikipedia table'!A9</f>
        <v>Amelia</v>
      </c>
      <c r="B96" s="3">
        <f>'Wikipedia table'!B9</f>
        <v>4521</v>
      </c>
      <c r="C96" s="3">
        <f>'Wikipedia table'!D9</f>
        <v>1831</v>
      </c>
      <c r="D96">
        <f>'Wikipedia table'!F9</f>
        <v>8</v>
      </c>
      <c r="E96" s="3">
        <f>SUM(B96:D96)</f>
        <v>6360</v>
      </c>
    </row>
    <row r="97" spans="1:5" x14ac:dyDescent="0.2">
      <c r="A97" t="str">
        <f>'Wikipedia table'!A100</f>
        <v>Poquoson</v>
      </c>
      <c r="B97" s="3">
        <f>'Wikipedia table'!B100</f>
        <v>4384</v>
      </c>
      <c r="C97" s="3">
        <f>'Wikipedia table'!D100</f>
        <v>1862</v>
      </c>
      <c r="D97">
        <f>'Wikipedia table'!F100</f>
        <v>16</v>
      </c>
      <c r="E97" s="3">
        <f>SUM(B97:D97)</f>
        <v>6262</v>
      </c>
    </row>
    <row r="98" spans="1:5" x14ac:dyDescent="0.2">
      <c r="A98" t="str">
        <f>'Wikipedia table'!A21</f>
        <v>Buckingham</v>
      </c>
      <c r="B98" s="3">
        <f>'Wikipedia table'!B21</f>
        <v>3586</v>
      </c>
      <c r="C98" s="3">
        <f>'Wikipedia table'!D21</f>
        <v>2456</v>
      </c>
      <c r="D98">
        <f>'Wikipedia table'!F21</f>
        <v>13</v>
      </c>
      <c r="E98" s="3">
        <f>SUM(B98:D98)</f>
        <v>6055</v>
      </c>
    </row>
    <row r="99" spans="1:5" x14ac:dyDescent="0.2">
      <c r="A99" t="str">
        <f>'Wikipedia table'!A72</f>
        <v>Lancaster</v>
      </c>
      <c r="B99" s="3">
        <f>'Wikipedia table'!B72</f>
        <v>3283</v>
      </c>
      <c r="C99" s="3">
        <f>'Wikipedia table'!D72</f>
        <v>2734</v>
      </c>
      <c r="D99">
        <f>'Wikipedia table'!F72</f>
        <v>13</v>
      </c>
      <c r="E99" s="3">
        <f>SUM(B99:D99)</f>
        <v>6030</v>
      </c>
    </row>
    <row r="100" spans="1:5" x14ac:dyDescent="0.2">
      <c r="A100" t="str">
        <f>'Wikipedia table'!A19</f>
        <v>Brunswick</v>
      </c>
      <c r="B100" s="3">
        <f>'Wikipedia table'!B19</f>
        <v>2591</v>
      </c>
      <c r="C100" s="3">
        <f>'Wikipedia table'!D19</f>
        <v>3338</v>
      </c>
      <c r="D100">
        <f>'Wikipedia table'!F19</f>
        <v>5</v>
      </c>
      <c r="E100" s="3">
        <f>SUM(B100:D100)</f>
        <v>5934</v>
      </c>
    </row>
    <row r="101" spans="1:5" x14ac:dyDescent="0.2">
      <c r="A101" t="str">
        <f>'Wikipedia table'!A56</f>
        <v>Grayson</v>
      </c>
      <c r="B101" s="3">
        <f>'Wikipedia table'!B56</f>
        <v>4614</v>
      </c>
      <c r="C101" s="3">
        <f>'Wikipedia table'!D56</f>
        <v>1264</v>
      </c>
      <c r="D101">
        <f>'Wikipedia table'!F56</f>
        <v>11</v>
      </c>
      <c r="E101" s="3">
        <f>SUM(B101:D101)</f>
        <v>5889</v>
      </c>
    </row>
    <row r="102" spans="1:5" x14ac:dyDescent="0.2">
      <c r="A102" t="str">
        <f>'Wikipedia table'!A8</f>
        <v>Alleghany</v>
      </c>
      <c r="B102" s="3">
        <f>'Wikipedia table'!B8</f>
        <v>4011</v>
      </c>
      <c r="C102" s="3">
        <f>'Wikipedia table'!D8</f>
        <v>1779</v>
      </c>
      <c r="D102">
        <f>'Wikipedia table'!F8</f>
        <v>11</v>
      </c>
      <c r="E102" s="3">
        <f>SUM(B102:D102)</f>
        <v>5801</v>
      </c>
    </row>
    <row r="103" spans="1:5" x14ac:dyDescent="0.2">
      <c r="A103" t="str">
        <f>'Wikipedia table'!A85</f>
        <v>Middlesex</v>
      </c>
      <c r="B103" s="3">
        <f>'Wikipedia table'!B85</f>
        <v>3473</v>
      </c>
      <c r="C103" s="3">
        <f>'Wikipedia table'!D85</f>
        <v>2174</v>
      </c>
      <c r="D103">
        <f>'Wikipedia table'!F85</f>
        <v>6</v>
      </c>
      <c r="E103" s="3">
        <f>SUM(B103:D103)</f>
        <v>5653</v>
      </c>
    </row>
    <row r="104" spans="1:5" x14ac:dyDescent="0.2">
      <c r="A104" t="str">
        <f>'Wikipedia table'!A91</f>
        <v>Northampton</v>
      </c>
      <c r="B104" s="3">
        <f>'Wikipedia table'!B91</f>
        <v>2469</v>
      </c>
      <c r="C104" s="3">
        <f>'Wikipedia table'!D91</f>
        <v>3060</v>
      </c>
      <c r="D104">
        <f>'Wikipedia table'!F91</f>
        <v>8</v>
      </c>
      <c r="E104" s="3">
        <f>SUM(B104:D104)</f>
        <v>5537</v>
      </c>
    </row>
    <row r="105" spans="1:5" x14ac:dyDescent="0.2">
      <c r="A105" t="str">
        <f>'Wikipedia table'!A20</f>
        <v>Buchanan</v>
      </c>
      <c r="B105" s="3">
        <f>'Wikipedia table'!B20</f>
        <v>4434</v>
      </c>
      <c r="C105" s="3">
        <f>'Wikipedia table'!D20</f>
        <v>971</v>
      </c>
      <c r="D105">
        <f>'Wikipedia table'!F20</f>
        <v>8</v>
      </c>
      <c r="E105" s="3">
        <f>SUM(B105:D105)</f>
        <v>5413</v>
      </c>
    </row>
    <row r="106" spans="1:5" x14ac:dyDescent="0.2">
      <c r="A106" t="str">
        <f>'Wikipedia table'!A94</f>
        <v>Nottoway</v>
      </c>
      <c r="B106" s="3">
        <f>'Wikipedia table'!B94</f>
        <v>3122</v>
      </c>
      <c r="C106" s="3">
        <f>'Wikipedia table'!D94</f>
        <v>2258</v>
      </c>
      <c r="D106">
        <f>'Wikipedia table'!F94</f>
        <v>11</v>
      </c>
      <c r="E106" s="3">
        <f>SUM(B106:D106)</f>
        <v>5391</v>
      </c>
    </row>
    <row r="107" spans="1:5" x14ac:dyDescent="0.2">
      <c r="A107" t="str">
        <f>'Wikipedia table'!A41</f>
        <v>Essex</v>
      </c>
      <c r="B107" s="3">
        <f>'Wikipedia table'!B41</f>
        <v>2572</v>
      </c>
      <c r="C107" s="3">
        <f>'Wikipedia table'!D41</f>
        <v>2289</v>
      </c>
      <c r="D107">
        <f>'Wikipedia table'!F41</f>
        <v>8</v>
      </c>
      <c r="E107" s="3">
        <f>SUM(B107:D107)</f>
        <v>4869</v>
      </c>
    </row>
    <row r="108" spans="1:5" x14ac:dyDescent="0.2">
      <c r="A108" t="str">
        <f>'Wikipedia table'!A83</f>
        <v>Mathews</v>
      </c>
      <c r="B108" s="3">
        <f>'Wikipedia table'!B83</f>
        <v>3242</v>
      </c>
      <c r="C108" s="3">
        <f>'Wikipedia table'!D83</f>
        <v>1555</v>
      </c>
      <c r="D108">
        <f>'Wikipedia table'!F83</f>
        <v>5</v>
      </c>
      <c r="E108" s="3">
        <f>SUM(B108:D108)</f>
        <v>4802</v>
      </c>
    </row>
    <row r="109" spans="1:5" x14ac:dyDescent="0.2">
      <c r="A109" t="str">
        <f>'Wikipedia table'!A18</f>
        <v>Bristol</v>
      </c>
      <c r="B109" s="3">
        <f>'Wikipedia table'!B18</f>
        <v>3090</v>
      </c>
      <c r="C109" s="3">
        <f>'Wikipedia table'!D18</f>
        <v>1660</v>
      </c>
      <c r="D109">
        <f>'Wikipedia table'!F18</f>
        <v>7</v>
      </c>
      <c r="E109" s="3">
        <f>SUM(B109:D109)</f>
        <v>4757</v>
      </c>
    </row>
    <row r="110" spans="1:5" x14ac:dyDescent="0.2">
      <c r="A110" t="str">
        <f>'Wikipedia table'!A27</f>
        <v>Charlotte</v>
      </c>
      <c r="B110" s="3">
        <f>'Wikipedia table'!B27</f>
        <v>3159</v>
      </c>
      <c r="C110" s="3">
        <f>'Wikipedia table'!D27</f>
        <v>1545</v>
      </c>
      <c r="D110">
        <f>'Wikipedia table'!F27</f>
        <v>6</v>
      </c>
      <c r="E110" s="3">
        <f>SUM(B110:D110)</f>
        <v>4710</v>
      </c>
    </row>
    <row r="111" spans="1:5" x14ac:dyDescent="0.2">
      <c r="A111" t="str">
        <f>'Wikipedia table'!A107</f>
        <v>Radford</v>
      </c>
      <c r="B111" s="3">
        <f>'Wikipedia table'!B107</f>
        <v>2050</v>
      </c>
      <c r="C111" s="3">
        <f>'Wikipedia table'!D107</f>
        <v>2632</v>
      </c>
      <c r="D111">
        <f>'Wikipedia table'!F107</f>
        <v>11</v>
      </c>
      <c r="E111" s="3">
        <f>SUM(B111:D111)</f>
        <v>4693</v>
      </c>
    </row>
    <row r="112" spans="1:5" x14ac:dyDescent="0.2">
      <c r="A112" t="str">
        <f>'Wikipedia table'!A77</f>
        <v>Lunenburg</v>
      </c>
      <c r="B112" s="3">
        <f>'Wikipedia table'!B77</f>
        <v>2682</v>
      </c>
      <c r="C112" s="3">
        <f>'Wikipedia table'!D77</f>
        <v>1806</v>
      </c>
      <c r="D112">
        <f>'Wikipedia table'!F77</f>
        <v>11</v>
      </c>
      <c r="E112" s="3">
        <f>SUM(B112:D112)</f>
        <v>4499</v>
      </c>
    </row>
    <row r="113" spans="1:5" x14ac:dyDescent="0.2">
      <c r="A113" t="str">
        <f>'Wikipedia table'!A38</f>
        <v>Dickenson</v>
      </c>
      <c r="B113" s="3">
        <f>'Wikipedia table'!B38</f>
        <v>3427</v>
      </c>
      <c r="C113" s="3">
        <f>'Wikipedia table'!D38</f>
        <v>1028</v>
      </c>
      <c r="D113">
        <f>'Wikipedia table'!F38</f>
        <v>7</v>
      </c>
      <c r="E113" s="3">
        <f>SUM(B113:D113)</f>
        <v>4462</v>
      </c>
    </row>
    <row r="114" spans="1:5" x14ac:dyDescent="0.2">
      <c r="A114" t="str">
        <f>'Wikipedia table'!A36</f>
        <v>Cumberland</v>
      </c>
      <c r="B114" s="3">
        <f>'Wikipedia table'!B36</f>
        <v>2609</v>
      </c>
      <c r="C114" s="3">
        <f>'Wikipedia table'!D36</f>
        <v>1803</v>
      </c>
      <c r="D114">
        <f>'Wikipedia table'!F36</f>
        <v>8</v>
      </c>
      <c r="E114" s="3">
        <f>SUM(B114:D114)</f>
        <v>4420</v>
      </c>
    </row>
    <row r="115" spans="1:5" x14ac:dyDescent="0.2">
      <c r="A115" t="str">
        <f>'Wikipedia table'!A108</f>
        <v>Rappahannock</v>
      </c>
      <c r="B115" s="3">
        <f>'Wikipedia table'!B108</f>
        <v>2231</v>
      </c>
      <c r="C115" s="3">
        <f>'Wikipedia table'!D108</f>
        <v>1812</v>
      </c>
      <c r="D115">
        <f>'Wikipedia table'!F108</f>
        <v>6</v>
      </c>
      <c r="E115" s="3">
        <f>SUM(B115:D115)</f>
        <v>4049</v>
      </c>
    </row>
    <row r="116" spans="1:5" x14ac:dyDescent="0.2">
      <c r="A116" t="str">
        <f>'Wikipedia table'!A81</f>
        <v>Manassas Park</v>
      </c>
      <c r="B116" s="3">
        <f>'Wikipedia table'!B81</f>
        <v>1151</v>
      </c>
      <c r="C116" s="3">
        <f>'Wikipedia table'!D81</f>
        <v>2852</v>
      </c>
      <c r="D116">
        <f>'Wikipedia table'!F81</f>
        <v>5</v>
      </c>
      <c r="E116" s="3">
        <f>SUM(B116:D116)</f>
        <v>4008</v>
      </c>
    </row>
    <row r="117" spans="1:5" x14ac:dyDescent="0.2">
      <c r="A117" t="str">
        <f>'Wikipedia table'!A82</f>
        <v>Martinsville</v>
      </c>
      <c r="B117" s="3">
        <f>'Wikipedia table'!B82</f>
        <v>1451</v>
      </c>
      <c r="C117" s="3">
        <f>'Wikipedia table'!D82</f>
        <v>2534</v>
      </c>
      <c r="D117">
        <f>'Wikipedia table'!F82</f>
        <v>7</v>
      </c>
      <c r="E117" s="3">
        <f>SUM(B117:D117)</f>
        <v>3992</v>
      </c>
    </row>
    <row r="118" spans="1:5" x14ac:dyDescent="0.2">
      <c r="A118" t="str">
        <f>'Wikipedia table'!A126</f>
        <v>Sussex</v>
      </c>
      <c r="B118" s="3">
        <f>'Wikipedia table'!B126</f>
        <v>1802</v>
      </c>
      <c r="C118" s="3">
        <f>'Wikipedia table'!D126</f>
        <v>2035</v>
      </c>
      <c r="D118">
        <f>'Wikipedia table'!F126</f>
        <v>4</v>
      </c>
      <c r="E118" s="3">
        <f>SUM(B118:D118)</f>
        <v>3841</v>
      </c>
    </row>
    <row r="119" spans="1:5" x14ac:dyDescent="0.2">
      <c r="A119" t="str">
        <f>'Wikipedia table'!A125</f>
        <v>Surry</v>
      </c>
      <c r="B119" s="3">
        <f>'Wikipedia table'!B125</f>
        <v>1707</v>
      </c>
      <c r="C119" s="3">
        <f>'Wikipedia table'!D125</f>
        <v>1873</v>
      </c>
      <c r="D119">
        <f>'Wikipedia table'!F125</f>
        <v>4</v>
      </c>
      <c r="E119" s="3">
        <f>SUM(B119:D119)</f>
        <v>3584</v>
      </c>
    </row>
    <row r="120" spans="1:5" x14ac:dyDescent="0.2">
      <c r="A120" t="str">
        <f>'Wikipedia table'!A26</f>
        <v>Charles City</v>
      </c>
      <c r="B120" s="3">
        <f>'Wikipedia table'!B26</f>
        <v>1485</v>
      </c>
      <c r="C120" s="3">
        <f>'Wikipedia table'!D26</f>
        <v>2002</v>
      </c>
      <c r="D120">
        <f>'Wikipedia table'!F26</f>
        <v>5</v>
      </c>
      <c r="E120" s="3">
        <f>SUM(B120:D120)</f>
        <v>3492</v>
      </c>
    </row>
    <row r="121" spans="1:5" x14ac:dyDescent="0.2">
      <c r="A121" t="str">
        <f>'Wikipedia table'!A58</f>
        <v>Greensville</v>
      </c>
      <c r="B121" s="3">
        <f>'Wikipedia table'!B58</f>
        <v>1427</v>
      </c>
      <c r="C121" s="3">
        <f>'Wikipedia table'!D58</f>
        <v>1902</v>
      </c>
      <c r="D121">
        <f>'Wikipedia table'!F58</f>
        <v>8</v>
      </c>
      <c r="E121" s="3">
        <f>SUM(B121:D121)</f>
        <v>3337</v>
      </c>
    </row>
    <row r="122" spans="1:5" x14ac:dyDescent="0.2">
      <c r="A122" t="str">
        <f>'Wikipedia table'!A69</f>
        <v>King and Queen</v>
      </c>
      <c r="B122" s="3">
        <f>'Wikipedia table'!B69</f>
        <v>1985</v>
      </c>
      <c r="C122" s="3">
        <f>'Wikipedia table'!D69</f>
        <v>1292</v>
      </c>
      <c r="D122">
        <f>'Wikipedia table'!F69</f>
        <v>4</v>
      </c>
      <c r="E122" s="3">
        <f>SUM(B122:D122)</f>
        <v>3281</v>
      </c>
    </row>
    <row r="123" spans="1:5" x14ac:dyDescent="0.2">
      <c r="A123" t="str">
        <f>'Wikipedia table'!A110</f>
        <v>Richmond County</v>
      </c>
      <c r="B123" s="3">
        <f>'Wikipedia table'!B110</f>
        <v>1997</v>
      </c>
      <c r="C123" s="3">
        <f>'Wikipedia table'!D110</f>
        <v>1124</v>
      </c>
      <c r="D123">
        <f>'Wikipedia table'!F110</f>
        <v>5</v>
      </c>
      <c r="E123" s="3">
        <f>SUM(B123:D123)</f>
        <v>3126</v>
      </c>
    </row>
    <row r="124" spans="1:5" x14ac:dyDescent="0.2">
      <c r="A124" t="str">
        <f>'Wikipedia table'!A48</f>
        <v>Franklin City</v>
      </c>
      <c r="B124" s="3">
        <f>'Wikipedia table'!B48</f>
        <v>1084</v>
      </c>
      <c r="C124" s="3">
        <f>'Wikipedia table'!D48</f>
        <v>1849</v>
      </c>
      <c r="D124">
        <f>'Wikipedia table'!F48</f>
        <v>2</v>
      </c>
      <c r="E124" s="3">
        <f>SUM(B124:D124)</f>
        <v>2935</v>
      </c>
    </row>
    <row r="125" spans="1:5" x14ac:dyDescent="0.2">
      <c r="A125" t="str">
        <f>'Wikipedia table'!A16</f>
        <v>Bland</v>
      </c>
      <c r="B125" s="3">
        <f>'Wikipedia table'!B16</f>
        <v>1974</v>
      </c>
      <c r="C125" s="3">
        <f>'Wikipedia table'!D16</f>
        <v>441</v>
      </c>
      <c r="D125">
        <f>'Wikipedia table'!F16</f>
        <v>3</v>
      </c>
      <c r="E125" s="3">
        <f>SUM(B125:D125)</f>
        <v>2418</v>
      </c>
    </row>
    <row r="126" spans="1:5" x14ac:dyDescent="0.2">
      <c r="A126" t="str">
        <f>'Wikipedia table'!A34</f>
        <v>Craig</v>
      </c>
      <c r="B126" s="3">
        <f>'Wikipedia table'!B34</f>
        <v>1806</v>
      </c>
      <c r="C126" s="3">
        <f>'Wikipedia table'!D34</f>
        <v>467</v>
      </c>
      <c r="D126">
        <f>'Wikipedia table'!F34</f>
        <v>6</v>
      </c>
      <c r="E126" s="3">
        <f>SUM(B126:D126)</f>
        <v>2279</v>
      </c>
    </row>
    <row r="127" spans="1:5" x14ac:dyDescent="0.2">
      <c r="A127" t="str">
        <f>'Wikipedia table'!A74</f>
        <v>Lexington</v>
      </c>
      <c r="B127" s="3">
        <f>'Wikipedia table'!B74</f>
        <v>686</v>
      </c>
      <c r="C127" s="3">
        <f>'Wikipedia table'!D74</f>
        <v>1475</v>
      </c>
      <c r="D127">
        <f>'Wikipedia table'!F74</f>
        <v>6</v>
      </c>
      <c r="E127" s="3">
        <f>SUM(B127:D127)</f>
        <v>2167</v>
      </c>
    </row>
    <row r="128" spans="1:5" x14ac:dyDescent="0.2">
      <c r="A128" t="str">
        <f>'Wikipedia table'!A22</f>
        <v>Buena Vista</v>
      </c>
      <c r="B128" s="3">
        <f>'Wikipedia table'!B22</f>
        <v>1392</v>
      </c>
      <c r="C128" s="3">
        <f>'Wikipedia table'!D22</f>
        <v>696</v>
      </c>
      <c r="D128">
        <f>'Wikipedia table'!F22</f>
        <v>9</v>
      </c>
      <c r="E128" s="3">
        <f>SUM(B128:D128)</f>
        <v>2097</v>
      </c>
    </row>
    <row r="129" spans="1:5" x14ac:dyDescent="0.2">
      <c r="A129" t="str">
        <f>'Wikipedia table'!A14</f>
        <v>Bath</v>
      </c>
      <c r="B129" s="3">
        <f>'Wikipedia table'!B14</f>
        <v>1421</v>
      </c>
      <c r="C129" s="3">
        <f>'Wikipedia table'!D14</f>
        <v>493</v>
      </c>
      <c r="D129">
        <f>'Wikipedia table'!F14</f>
        <v>5</v>
      </c>
      <c r="E129" s="3">
        <f>SUM(B129:D129)</f>
        <v>1919</v>
      </c>
    </row>
    <row r="130" spans="1:5" x14ac:dyDescent="0.2">
      <c r="A130" t="str">
        <f>'Wikipedia table'!A52</f>
        <v>Galax</v>
      </c>
      <c r="B130" s="3">
        <f>'Wikipedia table'!B52</f>
        <v>1284</v>
      </c>
      <c r="C130" s="3">
        <f>'Wikipedia table'!D52</f>
        <v>597</v>
      </c>
      <c r="D130">
        <f>'Wikipedia table'!F52</f>
        <v>1</v>
      </c>
      <c r="E130" s="3">
        <f>SUM(B130:D130)</f>
        <v>1882</v>
      </c>
    </row>
    <row r="131" spans="1:5" x14ac:dyDescent="0.2">
      <c r="A131" t="str">
        <f>'Wikipedia table'!A33</f>
        <v>Covington</v>
      </c>
      <c r="B131" s="3">
        <f>'Wikipedia table'!B33</f>
        <v>999</v>
      </c>
      <c r="C131" s="3">
        <f>'Wikipedia table'!D33</f>
        <v>678</v>
      </c>
      <c r="D131">
        <f>'Wikipedia table'!F33</f>
        <v>0</v>
      </c>
      <c r="E131" s="3">
        <f>SUM(B131:D131)</f>
        <v>1677</v>
      </c>
    </row>
    <row r="132" spans="1:5" x14ac:dyDescent="0.2">
      <c r="A132" t="str">
        <f>'Wikipedia table'!A40</f>
        <v>Emporia</v>
      </c>
      <c r="B132" s="3">
        <f>'Wikipedia table'!B40</f>
        <v>544</v>
      </c>
      <c r="C132" s="3">
        <f>'Wikipedia table'!D40</f>
        <v>1119</v>
      </c>
      <c r="D132">
        <f>'Wikipedia table'!F40</f>
        <v>3</v>
      </c>
      <c r="E132" s="3">
        <f>SUM(B132:D132)</f>
        <v>1666</v>
      </c>
    </row>
    <row r="133" spans="1:5" x14ac:dyDescent="0.2">
      <c r="A133" t="str">
        <f>'Wikipedia table'!A65</f>
        <v>Highland</v>
      </c>
      <c r="B133" s="3">
        <f>'Wikipedia table'!B65</f>
        <v>831</v>
      </c>
      <c r="C133" s="3">
        <f>'Wikipedia table'!D65</f>
        <v>362</v>
      </c>
      <c r="D133">
        <f>'Wikipedia table'!F65</f>
        <v>1</v>
      </c>
      <c r="E133" s="3">
        <f>SUM(B133:D133)</f>
        <v>1194</v>
      </c>
    </row>
    <row r="134" spans="1:5" x14ac:dyDescent="0.2">
      <c r="A134" t="str">
        <f>'Wikipedia table'!A93</f>
        <v>Norton</v>
      </c>
      <c r="B134" s="3">
        <f>'Wikipedia table'!B93</f>
        <v>721</v>
      </c>
      <c r="C134" s="3">
        <f>'Wikipedia table'!D93</f>
        <v>332</v>
      </c>
      <c r="D134">
        <f>'Wikipedia table'!F93</f>
        <v>2</v>
      </c>
      <c r="E134" s="3">
        <f>SUM(B134:D134)</f>
        <v>1055</v>
      </c>
    </row>
    <row r="135" spans="1:5" x14ac:dyDescent="0.2">
      <c r="B135" s="3"/>
      <c r="C135" s="3"/>
    </row>
    <row r="136" spans="1:5" x14ac:dyDescent="0.2">
      <c r="B136" s="3"/>
      <c r="C136" s="3"/>
    </row>
    <row r="137" spans="1:5" x14ac:dyDescent="0.2">
      <c r="B137" s="3"/>
      <c r="C137" s="3"/>
    </row>
    <row r="138" spans="1:5" x14ac:dyDescent="0.2">
      <c r="B138" s="3"/>
      <c r="C138" s="3"/>
    </row>
    <row r="139" spans="1:5" x14ac:dyDescent="0.2">
      <c r="B139" s="3"/>
      <c r="C139" s="3"/>
    </row>
    <row r="140" spans="1:5" x14ac:dyDescent="0.2">
      <c r="B140" s="3"/>
      <c r="C140" s="3"/>
    </row>
    <row r="141" spans="1:5" x14ac:dyDescent="0.2">
      <c r="B141" s="3"/>
      <c r="C141" s="3"/>
    </row>
    <row r="142" spans="1:5" x14ac:dyDescent="0.2">
      <c r="B142" s="3"/>
      <c r="C142" s="3"/>
    </row>
    <row r="143" spans="1:5" x14ac:dyDescent="0.2">
      <c r="B143" s="3"/>
      <c r="C143" s="3"/>
    </row>
    <row r="144" spans="1:5" x14ac:dyDescent="0.2">
      <c r="B144" s="3"/>
      <c r="C144" s="3"/>
    </row>
    <row r="145" spans="2:3" x14ac:dyDescent="0.2">
      <c r="B145" s="3"/>
      <c r="C145" s="3"/>
    </row>
    <row r="146" spans="2:3" x14ac:dyDescent="0.2">
      <c r="B146" s="3"/>
      <c r="C146" s="3"/>
    </row>
    <row r="147" spans="2:3" x14ac:dyDescent="0.2">
      <c r="B147" s="3"/>
      <c r="C147" s="3"/>
    </row>
    <row r="148" spans="2:3" x14ac:dyDescent="0.2">
      <c r="B148" s="3"/>
      <c r="C148" s="3"/>
    </row>
    <row r="149" spans="2:3" x14ac:dyDescent="0.2">
      <c r="B149" s="3"/>
      <c r="C149" s="3"/>
    </row>
    <row r="150" spans="2:3" x14ac:dyDescent="0.2">
      <c r="B150" s="3"/>
      <c r="C150" s="3"/>
    </row>
    <row r="151" spans="2:3" x14ac:dyDescent="0.2">
      <c r="B151" s="3"/>
      <c r="C151" s="3"/>
    </row>
    <row r="152" spans="2:3" x14ac:dyDescent="0.2">
      <c r="B152" s="3"/>
      <c r="C152" s="3"/>
    </row>
    <row r="153" spans="2:3" x14ac:dyDescent="0.2">
      <c r="B153" s="3"/>
      <c r="C153" s="3"/>
    </row>
    <row r="154" spans="2:3" x14ac:dyDescent="0.2">
      <c r="B154" s="3"/>
      <c r="C154" s="3"/>
    </row>
    <row r="155" spans="2:3" x14ac:dyDescent="0.2">
      <c r="B155" s="3"/>
      <c r="C155" s="3"/>
    </row>
    <row r="156" spans="2:3" x14ac:dyDescent="0.2">
      <c r="B156" s="3"/>
      <c r="C156" s="3"/>
    </row>
    <row r="157" spans="2:3" x14ac:dyDescent="0.2">
      <c r="B157" s="3"/>
      <c r="C157" s="3"/>
    </row>
    <row r="158" spans="2:3" x14ac:dyDescent="0.2">
      <c r="B158" s="3"/>
      <c r="C158" s="3"/>
    </row>
    <row r="159" spans="2:3" x14ac:dyDescent="0.2">
      <c r="B159" s="3"/>
      <c r="C159" s="3"/>
    </row>
    <row r="160" spans="2:3" x14ac:dyDescent="0.2">
      <c r="B160" s="3"/>
      <c r="C160" s="3"/>
    </row>
    <row r="161" spans="2:3" x14ac:dyDescent="0.2">
      <c r="B161" s="3"/>
      <c r="C161" s="3"/>
    </row>
    <row r="162" spans="2:3" x14ac:dyDescent="0.2">
      <c r="B162" s="3"/>
      <c r="C162" s="3"/>
    </row>
    <row r="163" spans="2:3" x14ac:dyDescent="0.2">
      <c r="B163" s="3"/>
      <c r="C163" s="3"/>
    </row>
    <row r="164" spans="2:3" x14ac:dyDescent="0.2">
      <c r="B164" s="3"/>
      <c r="C164" s="3"/>
    </row>
    <row r="165" spans="2:3" x14ac:dyDescent="0.2">
      <c r="B165" s="3"/>
      <c r="C165" s="3"/>
    </row>
    <row r="166" spans="2:3" x14ac:dyDescent="0.2">
      <c r="B166" s="3"/>
      <c r="C166" s="3"/>
    </row>
    <row r="167" spans="2:3" x14ac:dyDescent="0.2">
      <c r="B167" s="3"/>
      <c r="C167" s="3"/>
    </row>
    <row r="168" spans="2:3" x14ac:dyDescent="0.2">
      <c r="B168" s="3"/>
      <c r="C168" s="3"/>
    </row>
    <row r="169" spans="2:3" x14ac:dyDescent="0.2">
      <c r="B169" s="3"/>
      <c r="C169" s="3"/>
    </row>
    <row r="170" spans="2:3" x14ac:dyDescent="0.2">
      <c r="B170" s="3"/>
      <c r="C170" s="3"/>
    </row>
    <row r="171" spans="2:3" x14ac:dyDescent="0.2">
      <c r="B171" s="3"/>
      <c r="C171" s="3"/>
    </row>
    <row r="172" spans="2:3" x14ac:dyDescent="0.2">
      <c r="B172" s="3"/>
      <c r="C172" s="3"/>
    </row>
    <row r="173" spans="2:3" x14ac:dyDescent="0.2">
      <c r="B173" s="3"/>
      <c r="C173" s="3"/>
    </row>
    <row r="174" spans="2:3" x14ac:dyDescent="0.2">
      <c r="B174" s="3"/>
      <c r="C174" s="3"/>
    </row>
    <row r="175" spans="2:3" x14ac:dyDescent="0.2">
      <c r="B175" s="3"/>
      <c r="C175" s="3"/>
    </row>
    <row r="176" spans="2:3" x14ac:dyDescent="0.2">
      <c r="B176" s="3"/>
      <c r="C176" s="3"/>
    </row>
    <row r="177" spans="2:3" x14ac:dyDescent="0.2">
      <c r="B177" s="3"/>
      <c r="C177" s="3"/>
    </row>
    <row r="178" spans="2:3" x14ac:dyDescent="0.2">
      <c r="B178" s="3"/>
      <c r="C178" s="3"/>
    </row>
    <row r="179" spans="2:3" x14ac:dyDescent="0.2">
      <c r="B179" s="3"/>
      <c r="C179" s="3"/>
    </row>
    <row r="180" spans="2:3" x14ac:dyDescent="0.2">
      <c r="B180" s="3"/>
      <c r="C180" s="3"/>
    </row>
    <row r="181" spans="2:3" x14ac:dyDescent="0.2">
      <c r="B181" s="3"/>
      <c r="C181" s="3"/>
    </row>
    <row r="182" spans="2:3" x14ac:dyDescent="0.2">
      <c r="B182" s="3"/>
      <c r="C182" s="3"/>
    </row>
    <row r="183" spans="2:3" x14ac:dyDescent="0.2">
      <c r="B183" s="3"/>
      <c r="C183" s="3"/>
    </row>
    <row r="184" spans="2:3" x14ac:dyDescent="0.2">
      <c r="B184" s="3"/>
      <c r="C184" s="3"/>
    </row>
    <row r="185" spans="2:3" x14ac:dyDescent="0.2">
      <c r="B185" s="3"/>
      <c r="C185" s="3"/>
    </row>
    <row r="186" spans="2:3" x14ac:dyDescent="0.2">
      <c r="B186" s="3"/>
      <c r="C186" s="3"/>
    </row>
    <row r="187" spans="2:3" x14ac:dyDescent="0.2">
      <c r="B187" s="3"/>
      <c r="C187" s="3"/>
    </row>
    <row r="188" spans="2:3" x14ac:dyDescent="0.2">
      <c r="B188" s="3"/>
      <c r="C188" s="3"/>
    </row>
    <row r="189" spans="2:3" x14ac:dyDescent="0.2">
      <c r="B189" s="3"/>
      <c r="C189" s="3"/>
    </row>
    <row r="190" spans="2:3" x14ac:dyDescent="0.2">
      <c r="B190" s="3"/>
      <c r="C190" s="3"/>
    </row>
    <row r="191" spans="2:3" x14ac:dyDescent="0.2">
      <c r="B191" s="3"/>
      <c r="C191" s="3"/>
    </row>
    <row r="192" spans="2:3" x14ac:dyDescent="0.2">
      <c r="B192" s="3"/>
      <c r="C192" s="3"/>
    </row>
    <row r="193" spans="2:3" x14ac:dyDescent="0.2">
      <c r="B193" s="3"/>
      <c r="C193" s="3"/>
    </row>
    <row r="194" spans="2:3" x14ac:dyDescent="0.2">
      <c r="B194" s="3"/>
      <c r="C194" s="3"/>
    </row>
    <row r="195" spans="2:3" x14ac:dyDescent="0.2">
      <c r="B195" s="3"/>
      <c r="C195" s="3"/>
    </row>
    <row r="196" spans="2:3" x14ac:dyDescent="0.2">
      <c r="B196" s="3"/>
      <c r="C196" s="3"/>
    </row>
    <row r="197" spans="2:3" x14ac:dyDescent="0.2">
      <c r="B197" s="3"/>
      <c r="C197" s="3"/>
    </row>
    <row r="198" spans="2:3" x14ac:dyDescent="0.2">
      <c r="B198" s="3"/>
      <c r="C198" s="3"/>
    </row>
    <row r="199" spans="2:3" x14ac:dyDescent="0.2">
      <c r="B199" s="3"/>
      <c r="C199" s="3"/>
    </row>
    <row r="200" spans="2:3" x14ac:dyDescent="0.2">
      <c r="B200" s="3"/>
      <c r="C200" s="3"/>
    </row>
    <row r="201" spans="2:3" x14ac:dyDescent="0.2">
      <c r="B201" s="3"/>
      <c r="C201" s="3"/>
    </row>
    <row r="202" spans="2:3" x14ac:dyDescent="0.2">
      <c r="B202" s="3"/>
      <c r="C202" s="3"/>
    </row>
    <row r="203" spans="2:3" x14ac:dyDescent="0.2">
      <c r="B203" s="3"/>
      <c r="C203" s="3"/>
    </row>
    <row r="204" spans="2:3" x14ac:dyDescent="0.2">
      <c r="B204" s="3"/>
      <c r="C204" s="3"/>
    </row>
    <row r="205" spans="2:3" x14ac:dyDescent="0.2">
      <c r="B205" s="3"/>
      <c r="C205" s="3"/>
    </row>
    <row r="206" spans="2:3" x14ac:dyDescent="0.2">
      <c r="B206" s="3"/>
      <c r="C206" s="3"/>
    </row>
  </sheetData>
  <sortState xmlns:xlrd2="http://schemas.microsoft.com/office/spreadsheetml/2017/richdata2" ref="A2:E134">
    <sortCondition descending="1" ref="E2:E134"/>
  </sortState>
  <pageMargins left="0.7" right="0.7" top="0.75" bottom="0.75" header="0.3" footer="0.3"/>
  <pageSetup paperSize="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8A6D-9BEE-4D40-8307-8FE775F578D9}">
  <dimension ref="A1:J138"/>
  <sheetViews>
    <sheetView workbookViewId="0">
      <selection activeCell="B1" sqref="B1"/>
    </sheetView>
  </sheetViews>
  <sheetFormatPr baseColWidth="10" defaultColWidth="11" defaultRowHeight="16" x14ac:dyDescent="0.2"/>
  <cols>
    <col min="2" max="2" width="14.6640625" customWidth="1"/>
    <col min="4" max="4" width="14" customWidth="1"/>
    <col min="5" max="5" width="15.1640625" customWidth="1"/>
  </cols>
  <sheetData>
    <row r="1" spans="1:10" ht="18" x14ac:dyDescent="0.2">
      <c r="B1" s="1" t="s">
        <v>1</v>
      </c>
      <c r="D1" s="1" t="s">
        <v>3</v>
      </c>
      <c r="F1" s="1" t="s">
        <v>5</v>
      </c>
    </row>
    <row r="2" spans="1:10" ht="18" x14ac:dyDescent="0.2">
      <c r="A2" s="13" t="s">
        <v>0</v>
      </c>
      <c r="B2" s="1" t="s">
        <v>2</v>
      </c>
      <c r="D2" s="1" t="s">
        <v>4</v>
      </c>
      <c r="F2" s="1" t="s">
        <v>6</v>
      </c>
    </row>
    <row r="3" spans="1:10" x14ac:dyDescent="0.2">
      <c r="A3" s="13"/>
      <c r="H3" s="14" t="s">
        <v>7</v>
      </c>
      <c r="J3" s="14" t="s">
        <v>8</v>
      </c>
    </row>
    <row r="4" spans="1:10" ht="18" x14ac:dyDescent="0.2">
      <c r="A4" s="1" t="s">
        <v>9</v>
      </c>
      <c r="B4" s="1" t="s">
        <v>10</v>
      </c>
      <c r="C4" s="1" t="s">
        <v>9</v>
      </c>
      <c r="D4" s="1" t="s">
        <v>10</v>
      </c>
      <c r="E4" s="1" t="s">
        <v>9</v>
      </c>
      <c r="F4" s="1" t="s">
        <v>10</v>
      </c>
      <c r="G4" s="1" t="s">
        <v>9</v>
      </c>
      <c r="H4" s="14"/>
      <c r="J4" s="14"/>
    </row>
    <row r="5" spans="1:10" ht="18" x14ac:dyDescent="0.2">
      <c r="A5" s="2" t="s">
        <v>11</v>
      </c>
      <c r="B5" s="4">
        <v>7129</v>
      </c>
      <c r="C5" s="5">
        <v>0.54569999999999996</v>
      </c>
      <c r="D5" s="4">
        <v>5925</v>
      </c>
      <c r="E5" s="5">
        <v>0.45350000000000001</v>
      </c>
      <c r="F5" s="6">
        <v>10</v>
      </c>
      <c r="G5" s="7">
        <v>8.0000000000000004E-4</v>
      </c>
      <c r="H5" s="8" t="s">
        <v>12</v>
      </c>
      <c r="I5" s="8" t="s">
        <v>13</v>
      </c>
      <c r="J5" s="4">
        <v>13064</v>
      </c>
    </row>
    <row r="6" spans="1:10" ht="18" x14ac:dyDescent="0.2">
      <c r="A6" s="2" t="s">
        <v>14</v>
      </c>
      <c r="B6" s="4">
        <v>16480</v>
      </c>
      <c r="C6" s="5">
        <v>0.29480000000000001</v>
      </c>
      <c r="D6" s="4">
        <v>39322</v>
      </c>
      <c r="E6" s="5">
        <v>0.70350000000000001</v>
      </c>
      <c r="F6" s="6">
        <v>93</v>
      </c>
      <c r="G6" s="7">
        <v>1.6999999999999999E-3</v>
      </c>
      <c r="H6" s="4">
        <v>22842</v>
      </c>
      <c r="I6" s="5">
        <v>0.40870000000000001</v>
      </c>
      <c r="J6" s="4">
        <v>55895</v>
      </c>
    </row>
    <row r="7" spans="1:10" ht="18" x14ac:dyDescent="0.2">
      <c r="A7" s="2" t="s">
        <v>15</v>
      </c>
      <c r="B7" s="4">
        <v>10424</v>
      </c>
      <c r="C7" s="5">
        <v>0.16589999999999999</v>
      </c>
      <c r="D7" s="4">
        <v>52230</v>
      </c>
      <c r="E7" s="5">
        <v>0.83109999999999995</v>
      </c>
      <c r="F7" s="6">
        <v>190</v>
      </c>
      <c r="G7" s="7">
        <v>3.0000000000000001E-3</v>
      </c>
      <c r="H7" s="4">
        <v>41806</v>
      </c>
      <c r="I7" s="5">
        <v>0.66520000000000001</v>
      </c>
      <c r="J7" s="4">
        <v>62844</v>
      </c>
    </row>
    <row r="8" spans="1:10" ht="18" x14ac:dyDescent="0.2">
      <c r="A8" s="2" t="s">
        <v>16</v>
      </c>
      <c r="B8" s="4">
        <v>4011</v>
      </c>
      <c r="C8" s="5">
        <v>0.69140000000000001</v>
      </c>
      <c r="D8" s="4">
        <v>1779</v>
      </c>
      <c r="E8" s="5">
        <v>0.30669999999999997</v>
      </c>
      <c r="F8" s="6">
        <v>11</v>
      </c>
      <c r="G8" s="7">
        <v>1.9E-3</v>
      </c>
      <c r="H8" s="8" t="s">
        <v>17</v>
      </c>
      <c r="I8" s="8" t="s">
        <v>18</v>
      </c>
      <c r="J8" s="4">
        <v>5801</v>
      </c>
    </row>
    <row r="9" spans="1:10" ht="18" x14ac:dyDescent="0.2">
      <c r="A9" s="2" t="s">
        <v>19</v>
      </c>
      <c r="B9" s="4">
        <v>4521</v>
      </c>
      <c r="C9" s="5">
        <v>0.71079999999999999</v>
      </c>
      <c r="D9" s="4">
        <v>1831</v>
      </c>
      <c r="E9" s="5">
        <v>0.28789999999999999</v>
      </c>
      <c r="F9" s="6">
        <v>8</v>
      </c>
      <c r="G9" s="7">
        <v>1.2999999999999999E-3</v>
      </c>
      <c r="H9" s="8" t="s">
        <v>20</v>
      </c>
      <c r="I9" s="8" t="s">
        <v>21</v>
      </c>
      <c r="J9" s="4">
        <v>6360</v>
      </c>
    </row>
    <row r="10" spans="1:10" ht="18" x14ac:dyDescent="0.2">
      <c r="A10" s="2" t="s">
        <v>22</v>
      </c>
      <c r="B10" s="4">
        <v>8811</v>
      </c>
      <c r="C10" s="5">
        <v>0.67130000000000001</v>
      </c>
      <c r="D10" s="4">
        <v>4294</v>
      </c>
      <c r="E10" s="5">
        <v>0.32719999999999999</v>
      </c>
      <c r="F10" s="6">
        <v>20</v>
      </c>
      <c r="G10" s="7">
        <v>1.5E-3</v>
      </c>
      <c r="H10" s="8" t="s">
        <v>23</v>
      </c>
      <c r="I10" s="8" t="s">
        <v>24</v>
      </c>
      <c r="J10" s="4">
        <v>13125</v>
      </c>
    </row>
    <row r="11" spans="1:10" ht="18" x14ac:dyDescent="0.2">
      <c r="A11" s="2" t="s">
        <v>25</v>
      </c>
      <c r="B11" s="4">
        <v>5609</v>
      </c>
      <c r="C11" s="5">
        <v>0.75939999999999996</v>
      </c>
      <c r="D11" s="4">
        <v>1765</v>
      </c>
      <c r="E11" s="5">
        <v>0.23899999999999999</v>
      </c>
      <c r="F11" s="6">
        <v>12</v>
      </c>
      <c r="G11" s="7">
        <v>1.6000000000000001E-3</v>
      </c>
      <c r="H11" s="8" t="s">
        <v>26</v>
      </c>
      <c r="I11" s="8" t="s">
        <v>27</v>
      </c>
      <c r="J11" s="4">
        <v>7386</v>
      </c>
    </row>
    <row r="12" spans="1:10" ht="18" x14ac:dyDescent="0.2">
      <c r="A12" s="2" t="s">
        <v>28</v>
      </c>
      <c r="B12" s="4">
        <v>15929</v>
      </c>
      <c r="C12" s="5">
        <v>0.15959999999999999</v>
      </c>
      <c r="D12" s="4">
        <v>83657</v>
      </c>
      <c r="E12" s="5">
        <v>0.83809999999999996</v>
      </c>
      <c r="F12" s="6">
        <v>235</v>
      </c>
      <c r="G12" s="7">
        <v>2.3999999999999998E-3</v>
      </c>
      <c r="H12" s="4">
        <v>67728</v>
      </c>
      <c r="I12" s="5">
        <v>0.67849999999999999</v>
      </c>
      <c r="J12" s="4">
        <v>99821</v>
      </c>
    </row>
    <row r="13" spans="1:10" ht="18" x14ac:dyDescent="0.2">
      <c r="A13" s="2" t="s">
        <v>29</v>
      </c>
      <c r="B13" s="4">
        <v>24612</v>
      </c>
      <c r="C13" s="5">
        <v>0.7198</v>
      </c>
      <c r="D13" s="4">
        <v>9522</v>
      </c>
      <c r="E13" s="5">
        <v>0.27850000000000003</v>
      </c>
      <c r="F13" s="6">
        <v>60</v>
      </c>
      <c r="G13" s="7">
        <v>1.8E-3</v>
      </c>
      <c r="H13" s="8" t="s">
        <v>30</v>
      </c>
      <c r="I13" s="8" t="s">
        <v>31</v>
      </c>
      <c r="J13" s="4">
        <v>34194</v>
      </c>
    </row>
    <row r="14" spans="1:10" ht="18" x14ac:dyDescent="0.2">
      <c r="A14" s="2" t="s">
        <v>32</v>
      </c>
      <c r="B14" s="4">
        <v>1421</v>
      </c>
      <c r="C14" s="5">
        <v>0.74050000000000005</v>
      </c>
      <c r="D14" s="8">
        <v>493</v>
      </c>
      <c r="E14" s="5">
        <v>0.25690000000000002</v>
      </c>
      <c r="F14" s="6">
        <v>5</v>
      </c>
      <c r="G14" s="7">
        <v>2.5999999999999999E-3</v>
      </c>
      <c r="H14" s="8" t="s">
        <v>33</v>
      </c>
      <c r="I14" s="8" t="s">
        <v>34</v>
      </c>
      <c r="J14" s="4">
        <v>1919</v>
      </c>
    </row>
    <row r="15" spans="1:10" ht="18" x14ac:dyDescent="0.2">
      <c r="A15" s="2" t="s">
        <v>35</v>
      </c>
      <c r="B15" s="4">
        <v>29166</v>
      </c>
      <c r="C15" s="5">
        <v>0.74270000000000003</v>
      </c>
      <c r="D15" s="4">
        <v>10048</v>
      </c>
      <c r="E15" s="5">
        <v>0.25590000000000002</v>
      </c>
      <c r="F15" s="6">
        <v>57</v>
      </c>
      <c r="G15" s="7">
        <v>1.5E-3</v>
      </c>
      <c r="H15" s="8" t="s">
        <v>36</v>
      </c>
      <c r="I15" s="8" t="s">
        <v>37</v>
      </c>
      <c r="J15" s="4">
        <v>39271</v>
      </c>
    </row>
    <row r="16" spans="1:10" ht="18" x14ac:dyDescent="0.2">
      <c r="A16" s="2" t="s">
        <v>38</v>
      </c>
      <c r="B16" s="4">
        <v>1974</v>
      </c>
      <c r="C16" s="5">
        <v>0.81640000000000001</v>
      </c>
      <c r="D16" s="8">
        <v>441</v>
      </c>
      <c r="E16" s="5">
        <v>0.18240000000000001</v>
      </c>
      <c r="F16" s="6">
        <v>3</v>
      </c>
      <c r="G16" s="7">
        <v>1.1999999999999999E-3</v>
      </c>
      <c r="H16" s="8" t="s">
        <v>39</v>
      </c>
      <c r="I16" s="8" t="s">
        <v>40</v>
      </c>
      <c r="J16" s="4">
        <v>2418</v>
      </c>
    </row>
    <row r="17" spans="1:10" ht="18" x14ac:dyDescent="0.2">
      <c r="A17" s="2" t="s">
        <v>41</v>
      </c>
      <c r="B17" s="4">
        <v>11820</v>
      </c>
      <c r="C17" s="5">
        <v>0.70269999999999999</v>
      </c>
      <c r="D17" s="4">
        <v>4969</v>
      </c>
      <c r="E17" s="5">
        <v>0.2954</v>
      </c>
      <c r="F17" s="6">
        <v>32</v>
      </c>
      <c r="G17" s="7">
        <v>1.9E-3</v>
      </c>
      <c r="H17" s="8" t="s">
        <v>42</v>
      </c>
      <c r="I17" s="8" t="s">
        <v>43</v>
      </c>
      <c r="J17" s="4">
        <v>16821</v>
      </c>
    </row>
    <row r="18" spans="1:10" ht="18" x14ac:dyDescent="0.2">
      <c r="A18" s="2" t="s">
        <v>44</v>
      </c>
      <c r="B18" s="4">
        <v>3090</v>
      </c>
      <c r="C18" s="5">
        <v>0.64959999999999996</v>
      </c>
      <c r="D18" s="4">
        <v>1660</v>
      </c>
      <c r="E18" s="5">
        <v>0.34899999999999998</v>
      </c>
      <c r="F18" s="6">
        <v>7</v>
      </c>
      <c r="G18" s="7">
        <v>1.5E-3</v>
      </c>
      <c r="H18" s="8" t="s">
        <v>45</v>
      </c>
      <c r="I18" s="8" t="s">
        <v>46</v>
      </c>
      <c r="J18" s="4">
        <v>4757</v>
      </c>
    </row>
    <row r="19" spans="1:10" ht="18" x14ac:dyDescent="0.2">
      <c r="A19" s="2" t="s">
        <v>47</v>
      </c>
      <c r="B19" s="4">
        <v>2591</v>
      </c>
      <c r="C19" s="5">
        <v>0.43659999999999999</v>
      </c>
      <c r="D19" s="4">
        <v>3338</v>
      </c>
      <c r="E19" s="5">
        <v>0.5625</v>
      </c>
      <c r="F19" s="6">
        <v>5</v>
      </c>
      <c r="G19" s="7">
        <v>8.0000000000000004E-4</v>
      </c>
      <c r="H19" s="8">
        <v>747</v>
      </c>
      <c r="I19" s="5">
        <v>0.12590000000000001</v>
      </c>
      <c r="J19" s="4">
        <v>5934</v>
      </c>
    </row>
    <row r="20" spans="1:10" ht="18" x14ac:dyDescent="0.2">
      <c r="A20" s="2" t="s">
        <v>48</v>
      </c>
      <c r="B20" s="4">
        <v>4434</v>
      </c>
      <c r="C20" s="5">
        <v>0.81910000000000005</v>
      </c>
      <c r="D20" s="8">
        <v>971</v>
      </c>
      <c r="E20" s="5">
        <v>0.1794</v>
      </c>
      <c r="F20" s="6">
        <v>8</v>
      </c>
      <c r="G20" s="7">
        <v>1.5E-3</v>
      </c>
      <c r="H20" s="8" t="s">
        <v>49</v>
      </c>
      <c r="I20" s="8" t="s">
        <v>50</v>
      </c>
      <c r="J20" s="4">
        <v>5413</v>
      </c>
    </row>
    <row r="21" spans="1:10" ht="18" x14ac:dyDescent="0.2">
      <c r="A21" s="2" t="s">
        <v>51</v>
      </c>
      <c r="B21" s="4">
        <v>3586</v>
      </c>
      <c r="C21" s="5">
        <v>0.59219999999999995</v>
      </c>
      <c r="D21" s="4">
        <v>2456</v>
      </c>
      <c r="E21" s="5">
        <v>0.40560000000000002</v>
      </c>
      <c r="F21" s="6">
        <v>13</v>
      </c>
      <c r="G21" s="7">
        <v>2.0999999999999999E-3</v>
      </c>
      <c r="H21" s="8" t="s">
        <v>52</v>
      </c>
      <c r="I21" s="8" t="s">
        <v>53</v>
      </c>
      <c r="J21" s="4">
        <v>6055</v>
      </c>
    </row>
    <row r="22" spans="1:10" ht="18" x14ac:dyDescent="0.2">
      <c r="A22" s="2" t="s">
        <v>54</v>
      </c>
      <c r="B22" s="4">
        <v>1392</v>
      </c>
      <c r="C22" s="5">
        <v>0.66379999999999995</v>
      </c>
      <c r="D22" s="8">
        <v>696</v>
      </c>
      <c r="E22" s="5">
        <v>0.33189999999999997</v>
      </c>
      <c r="F22" s="6">
        <v>9</v>
      </c>
      <c r="G22" s="7">
        <v>4.3E-3</v>
      </c>
      <c r="H22" s="8" t="s">
        <v>55</v>
      </c>
      <c r="I22" s="8" t="s">
        <v>56</v>
      </c>
      <c r="J22" s="4">
        <v>2097</v>
      </c>
    </row>
    <row r="23" spans="1:10" ht="18" x14ac:dyDescent="0.2">
      <c r="A23" s="2" t="s">
        <v>57</v>
      </c>
      <c r="B23" s="4">
        <v>16878</v>
      </c>
      <c r="C23" s="5">
        <v>0.73250000000000004</v>
      </c>
      <c r="D23" s="4">
        <v>6130</v>
      </c>
      <c r="E23" s="5">
        <v>0.26600000000000001</v>
      </c>
      <c r="F23" s="6">
        <v>34</v>
      </c>
      <c r="G23" s="7">
        <v>1.5E-3</v>
      </c>
      <c r="H23" s="8" t="s">
        <v>58</v>
      </c>
      <c r="I23" s="8" t="s">
        <v>59</v>
      </c>
      <c r="J23" s="4">
        <v>23042</v>
      </c>
    </row>
    <row r="24" spans="1:10" ht="18" x14ac:dyDescent="0.2">
      <c r="A24" s="2" t="s">
        <v>60</v>
      </c>
      <c r="B24" s="4">
        <v>6680</v>
      </c>
      <c r="C24" s="5">
        <v>0.49719999999999998</v>
      </c>
      <c r="D24" s="4">
        <v>6733</v>
      </c>
      <c r="E24" s="5">
        <v>0.50109999999999999</v>
      </c>
      <c r="F24" s="6">
        <v>23</v>
      </c>
      <c r="G24" s="7">
        <v>1.6999999999999999E-3</v>
      </c>
      <c r="H24" s="8">
        <v>53</v>
      </c>
      <c r="I24" s="5">
        <v>3.8999999999999998E-3</v>
      </c>
      <c r="J24" s="4">
        <v>13436</v>
      </c>
    </row>
    <row r="25" spans="1:10" ht="18" x14ac:dyDescent="0.2">
      <c r="A25" s="2" t="s">
        <v>61</v>
      </c>
      <c r="B25" s="4">
        <v>8889</v>
      </c>
      <c r="C25" s="5">
        <v>0.7833</v>
      </c>
      <c r="D25" s="4">
        <v>2433</v>
      </c>
      <c r="E25" s="5">
        <v>0.21440000000000001</v>
      </c>
      <c r="F25" s="6">
        <v>26</v>
      </c>
      <c r="G25" s="7">
        <v>2.3E-3</v>
      </c>
      <c r="H25" s="8" t="s">
        <v>62</v>
      </c>
      <c r="I25" s="8" t="s">
        <v>63</v>
      </c>
      <c r="J25" s="4">
        <v>11348</v>
      </c>
    </row>
    <row r="26" spans="1:10" ht="18" x14ac:dyDescent="0.2">
      <c r="A26" s="2" t="s">
        <v>64</v>
      </c>
      <c r="B26" s="4">
        <v>1485</v>
      </c>
      <c r="C26" s="5">
        <v>0.42530000000000001</v>
      </c>
      <c r="D26" s="4">
        <v>2002</v>
      </c>
      <c r="E26" s="5">
        <v>0.57330000000000003</v>
      </c>
      <c r="F26" s="6">
        <v>5</v>
      </c>
      <c r="G26" s="7">
        <v>1.4E-3</v>
      </c>
      <c r="H26" s="8">
        <v>517</v>
      </c>
      <c r="I26" s="5">
        <v>0.14810000000000001</v>
      </c>
      <c r="J26" s="4">
        <v>3492</v>
      </c>
    </row>
    <row r="27" spans="1:10" ht="18" x14ac:dyDescent="0.2">
      <c r="A27" s="2" t="s">
        <v>65</v>
      </c>
      <c r="B27" s="4">
        <v>3159</v>
      </c>
      <c r="C27" s="5">
        <v>0.67069999999999996</v>
      </c>
      <c r="D27" s="4">
        <v>1545</v>
      </c>
      <c r="E27" s="5">
        <v>0.32800000000000001</v>
      </c>
      <c r="F27" s="6">
        <v>6</v>
      </c>
      <c r="G27" s="7">
        <v>1.2999999999999999E-3</v>
      </c>
      <c r="H27" s="8" t="s">
        <v>66</v>
      </c>
      <c r="I27" s="8" t="s">
        <v>67</v>
      </c>
      <c r="J27" s="4">
        <v>4710</v>
      </c>
    </row>
    <row r="28" spans="1:10" ht="18" x14ac:dyDescent="0.2">
      <c r="A28" s="2" t="s">
        <v>68</v>
      </c>
      <c r="B28" s="4">
        <v>2056</v>
      </c>
      <c r="C28" s="5">
        <v>0.10879999999999999</v>
      </c>
      <c r="D28" s="4">
        <v>16799</v>
      </c>
      <c r="E28" s="5">
        <v>0.88929999999999998</v>
      </c>
      <c r="F28" s="6">
        <v>35</v>
      </c>
      <c r="G28" s="7">
        <v>1.9E-3</v>
      </c>
      <c r="H28" s="4">
        <v>14743</v>
      </c>
      <c r="I28" s="5">
        <v>0.78049999999999997</v>
      </c>
      <c r="J28" s="4">
        <v>18890</v>
      </c>
    </row>
    <row r="29" spans="1:10" ht="18" x14ac:dyDescent="0.2">
      <c r="A29" s="2" t="s">
        <v>69</v>
      </c>
      <c r="B29" s="4">
        <v>42147</v>
      </c>
      <c r="C29" s="5">
        <v>0.43769999999999998</v>
      </c>
      <c r="D29" s="4">
        <v>53971</v>
      </c>
      <c r="E29" s="5">
        <v>0.56059999999999999</v>
      </c>
      <c r="F29" s="6">
        <v>164</v>
      </c>
      <c r="G29" s="7">
        <v>1.6999999999999999E-3</v>
      </c>
      <c r="H29" s="4">
        <v>11824</v>
      </c>
      <c r="I29" s="5">
        <v>0.12280000000000001</v>
      </c>
      <c r="J29" s="4">
        <v>96282</v>
      </c>
    </row>
    <row r="30" spans="1:10" ht="18" x14ac:dyDescent="0.2">
      <c r="A30" s="2" t="s">
        <v>70</v>
      </c>
      <c r="B30" s="4">
        <v>70021</v>
      </c>
      <c r="C30" s="5">
        <v>0.40970000000000001</v>
      </c>
      <c r="D30" s="4">
        <v>100595</v>
      </c>
      <c r="E30" s="5">
        <v>0.58860000000000001</v>
      </c>
      <c r="F30" s="6">
        <v>294</v>
      </c>
      <c r="G30" s="7">
        <v>1.6999999999999999E-3</v>
      </c>
      <c r="H30" s="4">
        <v>30574</v>
      </c>
      <c r="I30" s="5">
        <v>0.1789</v>
      </c>
      <c r="J30" s="4">
        <v>170910</v>
      </c>
    </row>
    <row r="31" spans="1:10" ht="18" x14ac:dyDescent="0.2">
      <c r="A31" s="2" t="s">
        <v>71</v>
      </c>
      <c r="B31" s="4">
        <v>4222</v>
      </c>
      <c r="C31" s="5">
        <v>0.5534</v>
      </c>
      <c r="D31" s="4">
        <v>3389</v>
      </c>
      <c r="E31" s="5">
        <v>0.44419999999999998</v>
      </c>
      <c r="F31" s="6">
        <v>18</v>
      </c>
      <c r="G31" s="7">
        <v>2.3999999999999998E-3</v>
      </c>
      <c r="H31" s="8" t="s">
        <v>72</v>
      </c>
      <c r="I31" s="8" t="s">
        <v>73</v>
      </c>
      <c r="J31" s="4">
        <v>7629</v>
      </c>
    </row>
    <row r="32" spans="1:10" ht="18" x14ac:dyDescent="0.2">
      <c r="A32" s="2" t="s">
        <v>74</v>
      </c>
      <c r="B32" s="4">
        <v>4092</v>
      </c>
      <c r="C32" s="5">
        <v>0.62119999999999997</v>
      </c>
      <c r="D32" s="4">
        <v>2474</v>
      </c>
      <c r="E32" s="5">
        <v>0.37559999999999999</v>
      </c>
      <c r="F32" s="6">
        <v>21</v>
      </c>
      <c r="G32" s="7">
        <v>3.2000000000000002E-3</v>
      </c>
      <c r="H32" s="8" t="s">
        <v>75</v>
      </c>
      <c r="I32" s="8" t="s">
        <v>76</v>
      </c>
      <c r="J32" s="4">
        <v>6587</v>
      </c>
    </row>
    <row r="33" spans="1:10" ht="18" x14ac:dyDescent="0.2">
      <c r="A33" s="2" t="s">
        <v>77</v>
      </c>
      <c r="B33" s="8">
        <v>999</v>
      </c>
      <c r="C33" s="5">
        <v>0.59570000000000001</v>
      </c>
      <c r="D33" s="8">
        <v>678</v>
      </c>
      <c r="E33" s="5">
        <v>0.40429999999999999</v>
      </c>
      <c r="F33" s="6">
        <v>0</v>
      </c>
      <c r="G33" s="7">
        <v>0</v>
      </c>
      <c r="H33" s="8" t="s">
        <v>78</v>
      </c>
      <c r="I33" s="8" t="s">
        <v>79</v>
      </c>
      <c r="J33" s="4">
        <v>1677</v>
      </c>
    </row>
    <row r="34" spans="1:10" ht="18" x14ac:dyDescent="0.2">
      <c r="A34" s="2" t="s">
        <v>80</v>
      </c>
      <c r="B34" s="4">
        <v>1806</v>
      </c>
      <c r="C34" s="5">
        <v>0.79249999999999998</v>
      </c>
      <c r="D34" s="8">
        <v>467</v>
      </c>
      <c r="E34" s="5">
        <v>0.2049</v>
      </c>
      <c r="F34" s="6">
        <v>6</v>
      </c>
      <c r="G34" s="7">
        <v>2.5999999999999999E-3</v>
      </c>
      <c r="H34" s="8" t="s">
        <v>81</v>
      </c>
      <c r="I34" s="8" t="s">
        <v>82</v>
      </c>
      <c r="J34" s="4">
        <v>2279</v>
      </c>
    </row>
    <row r="35" spans="1:10" ht="18" x14ac:dyDescent="0.2">
      <c r="A35" s="2" t="s">
        <v>83</v>
      </c>
      <c r="B35" s="4">
        <v>12592</v>
      </c>
      <c r="C35" s="5">
        <v>0.5766</v>
      </c>
      <c r="D35" s="4">
        <v>9214</v>
      </c>
      <c r="E35" s="5">
        <v>0.4219</v>
      </c>
      <c r="F35" s="6">
        <v>33</v>
      </c>
      <c r="G35" s="7">
        <v>1.5E-3</v>
      </c>
      <c r="H35" s="8" t="s">
        <v>84</v>
      </c>
      <c r="I35" s="8" t="s">
        <v>85</v>
      </c>
      <c r="J35" s="4">
        <v>21839</v>
      </c>
    </row>
    <row r="36" spans="1:10" ht="18" x14ac:dyDescent="0.2">
      <c r="A36" s="2" t="s">
        <v>86</v>
      </c>
      <c r="B36" s="4">
        <v>2609</v>
      </c>
      <c r="C36" s="5">
        <v>0.59030000000000005</v>
      </c>
      <c r="D36" s="4">
        <v>1803</v>
      </c>
      <c r="E36" s="5">
        <v>0.40789999999999998</v>
      </c>
      <c r="F36" s="6">
        <v>8</v>
      </c>
      <c r="G36" s="7">
        <v>1.8E-3</v>
      </c>
      <c r="H36" s="8" t="s">
        <v>87</v>
      </c>
      <c r="I36" s="8" t="s">
        <v>88</v>
      </c>
      <c r="J36" s="4">
        <v>4418</v>
      </c>
    </row>
    <row r="37" spans="1:10" ht="18" x14ac:dyDescent="0.2">
      <c r="A37" s="2" t="s">
        <v>89</v>
      </c>
      <c r="B37" s="4">
        <v>4592</v>
      </c>
      <c r="C37" s="5">
        <v>0.37340000000000001</v>
      </c>
      <c r="D37" s="4">
        <v>7678</v>
      </c>
      <c r="E37" s="5">
        <v>0.62429999999999997</v>
      </c>
      <c r="F37" s="6">
        <v>29</v>
      </c>
      <c r="G37" s="7">
        <v>2.3999999999999998E-3</v>
      </c>
      <c r="H37" s="4">
        <v>3086</v>
      </c>
      <c r="I37" s="5">
        <v>0.25090000000000001</v>
      </c>
      <c r="J37" s="4">
        <v>12299</v>
      </c>
    </row>
    <row r="38" spans="1:10" ht="18" x14ac:dyDescent="0.2">
      <c r="A38" s="2" t="s">
        <v>90</v>
      </c>
      <c r="B38" s="4">
        <v>3427</v>
      </c>
      <c r="C38" s="5">
        <v>0.76800000000000002</v>
      </c>
      <c r="D38" s="4">
        <v>1028</v>
      </c>
      <c r="E38" s="5">
        <v>0.23039999999999999</v>
      </c>
      <c r="F38" s="6">
        <v>7</v>
      </c>
      <c r="G38" s="7">
        <v>1.6000000000000001E-3</v>
      </c>
      <c r="H38" s="8" t="s">
        <v>91</v>
      </c>
      <c r="I38" s="8" t="s">
        <v>92</v>
      </c>
      <c r="J38" s="4">
        <v>4462</v>
      </c>
    </row>
    <row r="39" spans="1:10" ht="18" x14ac:dyDescent="0.2">
      <c r="A39" s="2" t="s">
        <v>93</v>
      </c>
      <c r="B39" s="4">
        <v>7028</v>
      </c>
      <c r="C39" s="5">
        <v>0.58189999999999997</v>
      </c>
      <c r="D39" s="4">
        <v>5031</v>
      </c>
      <c r="E39" s="5">
        <v>0.41649999999999998</v>
      </c>
      <c r="F39" s="6">
        <v>19</v>
      </c>
      <c r="G39" s="7">
        <v>1.6000000000000001E-3</v>
      </c>
      <c r="H39" s="8" t="s">
        <v>94</v>
      </c>
      <c r="I39" s="8" t="s">
        <v>95</v>
      </c>
      <c r="J39" s="4">
        <v>12078</v>
      </c>
    </row>
    <row r="40" spans="1:10" ht="18" x14ac:dyDescent="0.2">
      <c r="A40" s="2" t="s">
        <v>96</v>
      </c>
      <c r="B40" s="8">
        <v>544</v>
      </c>
      <c r="C40" s="5">
        <v>0.32650000000000001</v>
      </c>
      <c r="D40" s="4">
        <v>1119</v>
      </c>
      <c r="E40" s="5">
        <v>0.67169999999999996</v>
      </c>
      <c r="F40" s="6">
        <v>3</v>
      </c>
      <c r="G40" s="7">
        <v>1.8E-3</v>
      </c>
      <c r="H40" s="8">
        <v>575</v>
      </c>
      <c r="I40" s="5">
        <v>0.34510000000000002</v>
      </c>
      <c r="J40" s="4">
        <v>1666</v>
      </c>
    </row>
    <row r="41" spans="1:10" ht="18" x14ac:dyDescent="0.2">
      <c r="A41" s="2" t="s">
        <v>97</v>
      </c>
      <c r="B41" s="4">
        <v>2572</v>
      </c>
      <c r="C41" s="5">
        <v>0.5282</v>
      </c>
      <c r="D41" s="4">
        <v>2289</v>
      </c>
      <c r="E41" s="5">
        <v>0.47010000000000002</v>
      </c>
      <c r="F41" s="6">
        <v>8</v>
      </c>
      <c r="G41" s="7">
        <v>1.6000000000000001E-3</v>
      </c>
      <c r="H41" s="8" t="s">
        <v>98</v>
      </c>
      <c r="I41" s="8" t="s">
        <v>99</v>
      </c>
      <c r="J41" s="4">
        <v>4869</v>
      </c>
    </row>
    <row r="42" spans="1:10" ht="18" x14ac:dyDescent="0.2">
      <c r="A42" s="2" t="s">
        <v>100</v>
      </c>
      <c r="B42" s="4">
        <v>2847</v>
      </c>
      <c r="C42" s="5">
        <v>0.27279999999999999</v>
      </c>
      <c r="D42" s="4">
        <v>7552</v>
      </c>
      <c r="E42" s="5">
        <v>0.72370000000000001</v>
      </c>
      <c r="F42" s="6">
        <v>36</v>
      </c>
      <c r="G42" s="7">
        <v>3.3999999999999998E-3</v>
      </c>
      <c r="H42" s="4">
        <v>4705</v>
      </c>
      <c r="I42" s="5">
        <v>0.45090000000000002</v>
      </c>
      <c r="J42" s="4">
        <v>10435</v>
      </c>
    </row>
    <row r="43" spans="1:10" ht="18" x14ac:dyDescent="0.2">
      <c r="A43" s="2" t="s">
        <v>101</v>
      </c>
      <c r="B43" s="4">
        <v>116053</v>
      </c>
      <c r="C43" s="5">
        <v>0.25950000000000001</v>
      </c>
      <c r="D43" s="4">
        <v>329977</v>
      </c>
      <c r="E43" s="5">
        <v>0.73780000000000001</v>
      </c>
      <c r="F43" s="9">
        <v>1222</v>
      </c>
      <c r="G43" s="7">
        <v>2.7000000000000001E-3</v>
      </c>
      <c r="H43" s="4">
        <v>213924</v>
      </c>
      <c r="I43" s="5">
        <v>0.4783</v>
      </c>
      <c r="J43" s="4">
        <v>447252</v>
      </c>
    </row>
    <row r="44" spans="1:10" ht="18" x14ac:dyDescent="0.2">
      <c r="A44" s="2" t="s">
        <v>102</v>
      </c>
      <c r="B44" s="4">
        <v>1181</v>
      </c>
      <c r="C44" s="5">
        <v>0.15540000000000001</v>
      </c>
      <c r="D44" s="4">
        <v>6407</v>
      </c>
      <c r="E44" s="5">
        <v>0.84299999999999997</v>
      </c>
      <c r="F44" s="6">
        <v>12</v>
      </c>
      <c r="G44" s="7">
        <v>1.6000000000000001E-3</v>
      </c>
      <c r="H44" s="4">
        <v>5226</v>
      </c>
      <c r="I44" s="5">
        <v>0.68759999999999999</v>
      </c>
      <c r="J44" s="4">
        <v>7600</v>
      </c>
    </row>
    <row r="45" spans="1:10" ht="18" x14ac:dyDescent="0.2">
      <c r="A45" s="2" t="s">
        <v>103</v>
      </c>
      <c r="B45" s="4">
        <v>19894</v>
      </c>
      <c r="C45" s="5">
        <v>0.57550000000000001</v>
      </c>
      <c r="D45" s="4">
        <v>14610</v>
      </c>
      <c r="E45" s="5">
        <v>0.42270000000000002</v>
      </c>
      <c r="F45" s="6">
        <v>62</v>
      </c>
      <c r="G45" s="7">
        <v>1.8E-3</v>
      </c>
      <c r="H45" s="8" t="s">
        <v>104</v>
      </c>
      <c r="I45" s="8" t="s">
        <v>105</v>
      </c>
      <c r="J45" s="4">
        <v>34566</v>
      </c>
    </row>
    <row r="46" spans="1:10" ht="18" x14ac:dyDescent="0.2">
      <c r="A46" s="2" t="s">
        <v>106</v>
      </c>
      <c r="B46" s="4">
        <v>4806</v>
      </c>
      <c r="C46" s="5">
        <v>0.64729999999999999</v>
      </c>
      <c r="D46" s="4">
        <v>2603</v>
      </c>
      <c r="E46" s="5">
        <v>0.35060000000000002</v>
      </c>
      <c r="F46" s="6">
        <v>16</v>
      </c>
      <c r="G46" s="7">
        <v>2.2000000000000001E-3</v>
      </c>
      <c r="H46" s="8" t="s">
        <v>107</v>
      </c>
      <c r="I46" s="8" t="s">
        <v>108</v>
      </c>
      <c r="J46" s="4">
        <v>7425</v>
      </c>
    </row>
    <row r="47" spans="1:10" ht="18" x14ac:dyDescent="0.2">
      <c r="A47" s="2" t="s">
        <v>109</v>
      </c>
      <c r="B47" s="4">
        <v>6718</v>
      </c>
      <c r="C47" s="5">
        <v>0.4995</v>
      </c>
      <c r="D47" s="4">
        <v>6712</v>
      </c>
      <c r="E47" s="5">
        <v>0.49909999999999999</v>
      </c>
      <c r="F47" s="6">
        <v>19</v>
      </c>
      <c r="G47" s="7">
        <v>1.4E-3</v>
      </c>
      <c r="H47" s="8" t="s">
        <v>110</v>
      </c>
      <c r="I47" s="8" t="s">
        <v>111</v>
      </c>
      <c r="J47" s="4">
        <v>13449</v>
      </c>
    </row>
    <row r="48" spans="1:10" ht="18" x14ac:dyDescent="0.2">
      <c r="A48" s="2" t="s">
        <v>112</v>
      </c>
      <c r="B48" s="4">
        <v>1084</v>
      </c>
      <c r="C48" s="5">
        <v>0.36930000000000002</v>
      </c>
      <c r="D48" s="4">
        <v>1849</v>
      </c>
      <c r="E48" s="5">
        <v>0.63</v>
      </c>
      <c r="F48" s="6">
        <v>2</v>
      </c>
      <c r="G48" s="7">
        <v>6.9999999999999999E-4</v>
      </c>
      <c r="H48" s="8">
        <v>765</v>
      </c>
      <c r="I48" s="5">
        <v>0.2606</v>
      </c>
      <c r="J48" s="4">
        <v>2935</v>
      </c>
    </row>
    <row r="49" spans="1:10" ht="18" x14ac:dyDescent="0.2">
      <c r="A49" s="2" t="s">
        <v>113</v>
      </c>
      <c r="B49" s="4">
        <v>16317</v>
      </c>
      <c r="C49" s="5">
        <v>0.70369999999999999</v>
      </c>
      <c r="D49" s="4">
        <v>6836</v>
      </c>
      <c r="E49" s="5">
        <v>0.29480000000000001</v>
      </c>
      <c r="F49" s="6">
        <v>36</v>
      </c>
      <c r="G49" s="7">
        <v>1.6000000000000001E-3</v>
      </c>
      <c r="H49" s="8" t="s">
        <v>114</v>
      </c>
      <c r="I49" s="8" t="s">
        <v>115</v>
      </c>
      <c r="J49" s="4">
        <v>23189</v>
      </c>
    </row>
    <row r="50" spans="1:10" ht="18" x14ac:dyDescent="0.2">
      <c r="A50" s="2" t="s">
        <v>116</v>
      </c>
      <c r="B50" s="4">
        <v>23130</v>
      </c>
      <c r="C50" s="5">
        <v>0.59319999999999995</v>
      </c>
      <c r="D50" s="4">
        <v>15809</v>
      </c>
      <c r="E50" s="5">
        <v>0.40550000000000003</v>
      </c>
      <c r="F50" s="6">
        <v>51</v>
      </c>
      <c r="G50" s="7">
        <v>1.2999999999999999E-3</v>
      </c>
      <c r="H50" s="8" t="s">
        <v>117</v>
      </c>
      <c r="I50" s="8" t="s">
        <v>118</v>
      </c>
      <c r="J50" s="4">
        <v>38990</v>
      </c>
    </row>
    <row r="51" spans="1:10" ht="18" x14ac:dyDescent="0.2">
      <c r="A51" s="2" t="s">
        <v>119</v>
      </c>
      <c r="B51" s="4">
        <v>2943</v>
      </c>
      <c r="C51" s="5">
        <v>0.27929999999999999</v>
      </c>
      <c r="D51" s="4">
        <v>7561</v>
      </c>
      <c r="E51" s="5">
        <v>0.71760000000000002</v>
      </c>
      <c r="F51" s="6">
        <v>33</v>
      </c>
      <c r="G51" s="7">
        <v>3.0999999999999999E-3</v>
      </c>
      <c r="H51" s="4">
        <v>4618</v>
      </c>
      <c r="I51" s="5">
        <v>0.43830000000000002</v>
      </c>
      <c r="J51" s="4">
        <v>10537</v>
      </c>
    </row>
    <row r="52" spans="1:10" ht="18" x14ac:dyDescent="0.2">
      <c r="A52" s="2" t="s">
        <v>120</v>
      </c>
      <c r="B52" s="4">
        <v>1284</v>
      </c>
      <c r="C52" s="5">
        <v>0.68230000000000002</v>
      </c>
      <c r="D52" s="8">
        <v>597</v>
      </c>
      <c r="E52" s="5">
        <v>0.31719999999999998</v>
      </c>
      <c r="F52" s="6">
        <v>1</v>
      </c>
      <c r="G52" s="7">
        <v>5.0000000000000001E-4</v>
      </c>
      <c r="H52" s="8" t="s">
        <v>121</v>
      </c>
      <c r="I52" s="8" t="s">
        <v>122</v>
      </c>
      <c r="J52" s="4">
        <v>1882</v>
      </c>
    </row>
    <row r="53" spans="1:10" ht="18" x14ac:dyDescent="0.2">
      <c r="A53" s="2" t="s">
        <v>123</v>
      </c>
      <c r="B53" s="4">
        <v>4983</v>
      </c>
      <c r="C53" s="5">
        <v>0.73480000000000001</v>
      </c>
      <c r="D53" s="4">
        <v>1782</v>
      </c>
      <c r="E53" s="5">
        <v>0.26279999999999998</v>
      </c>
      <c r="F53" s="6">
        <v>16</v>
      </c>
      <c r="G53" s="7">
        <v>2.3999999999999998E-3</v>
      </c>
      <c r="H53" s="8" t="s">
        <v>124</v>
      </c>
      <c r="I53" s="8" t="s">
        <v>125</v>
      </c>
      <c r="J53" s="4">
        <v>6781</v>
      </c>
    </row>
    <row r="54" spans="1:10" ht="18" x14ac:dyDescent="0.2">
      <c r="A54" s="2" t="s">
        <v>126</v>
      </c>
      <c r="B54" s="4">
        <v>11399</v>
      </c>
      <c r="C54" s="5">
        <v>0.6573</v>
      </c>
      <c r="D54" s="4">
        <v>5912</v>
      </c>
      <c r="E54" s="5">
        <v>0.34089999999999998</v>
      </c>
      <c r="F54" s="6">
        <v>30</v>
      </c>
      <c r="G54" s="7">
        <v>1.6999999999999999E-3</v>
      </c>
      <c r="H54" s="8" t="s">
        <v>127</v>
      </c>
      <c r="I54" s="8" t="s">
        <v>128</v>
      </c>
      <c r="J54" s="4">
        <v>17341</v>
      </c>
    </row>
    <row r="55" spans="1:10" ht="18" x14ac:dyDescent="0.2">
      <c r="A55" s="2" t="s">
        <v>129</v>
      </c>
      <c r="B55" s="4">
        <v>9726</v>
      </c>
      <c r="C55" s="5">
        <v>0.56910000000000005</v>
      </c>
      <c r="D55" s="4">
        <v>7339</v>
      </c>
      <c r="E55" s="5">
        <v>0.42949999999999999</v>
      </c>
      <c r="F55" s="6">
        <v>24</v>
      </c>
      <c r="G55" s="7">
        <v>1.4E-3</v>
      </c>
      <c r="H55" s="8" t="s">
        <v>130</v>
      </c>
      <c r="I55" s="8" t="s">
        <v>131</v>
      </c>
      <c r="J55" s="4">
        <v>17089</v>
      </c>
    </row>
    <row r="56" spans="1:10" ht="18" x14ac:dyDescent="0.2">
      <c r="A56" s="2" t="s">
        <v>132</v>
      </c>
      <c r="B56" s="4">
        <v>4614</v>
      </c>
      <c r="C56" s="5">
        <v>0.78349999999999997</v>
      </c>
      <c r="D56" s="4">
        <v>1264</v>
      </c>
      <c r="E56" s="5">
        <v>0.21460000000000001</v>
      </c>
      <c r="F56" s="6">
        <v>11</v>
      </c>
      <c r="G56" s="7">
        <v>1.9E-3</v>
      </c>
      <c r="H56" s="8" t="s">
        <v>133</v>
      </c>
      <c r="I56" s="8" t="s">
        <v>63</v>
      </c>
      <c r="J56" s="4">
        <v>5889</v>
      </c>
    </row>
    <row r="57" spans="1:10" ht="18" x14ac:dyDescent="0.2">
      <c r="A57" s="2" t="s">
        <v>134</v>
      </c>
      <c r="B57" s="4">
        <v>5458</v>
      </c>
      <c r="C57" s="5">
        <v>0.57389999999999997</v>
      </c>
      <c r="D57" s="4">
        <v>4036</v>
      </c>
      <c r="E57" s="5">
        <v>0.4244</v>
      </c>
      <c r="F57" s="6">
        <v>16</v>
      </c>
      <c r="G57" s="7">
        <v>1.6999999999999999E-3</v>
      </c>
      <c r="H57" s="8" t="s">
        <v>135</v>
      </c>
      <c r="I57" s="8" t="s">
        <v>136</v>
      </c>
      <c r="J57" s="4">
        <v>9510</v>
      </c>
    </row>
    <row r="58" spans="1:10" ht="18" x14ac:dyDescent="0.2">
      <c r="A58" s="2" t="s">
        <v>137</v>
      </c>
      <c r="B58" s="4">
        <v>1427</v>
      </c>
      <c r="C58" s="5">
        <v>0.42759999999999998</v>
      </c>
      <c r="D58" s="4">
        <v>1902</v>
      </c>
      <c r="E58" s="5">
        <v>0.56999999999999995</v>
      </c>
      <c r="F58" s="6">
        <v>8</v>
      </c>
      <c r="G58" s="7">
        <v>2.3999999999999998E-3</v>
      </c>
      <c r="H58" s="8">
        <v>475</v>
      </c>
      <c r="I58" s="5">
        <v>0.14230000000000001</v>
      </c>
      <c r="J58" s="4">
        <v>3337</v>
      </c>
    </row>
    <row r="59" spans="1:10" ht="18" x14ac:dyDescent="0.2">
      <c r="A59" s="2" t="s">
        <v>138</v>
      </c>
      <c r="B59" s="4">
        <v>8027</v>
      </c>
      <c r="C59" s="5">
        <v>0.60260000000000002</v>
      </c>
      <c r="D59" s="4">
        <v>5272</v>
      </c>
      <c r="E59" s="5">
        <v>0.39579999999999999</v>
      </c>
      <c r="F59" s="6">
        <v>22</v>
      </c>
      <c r="G59" s="7">
        <v>1.6999999999999999E-3</v>
      </c>
      <c r="H59" s="8" t="s">
        <v>139</v>
      </c>
      <c r="I59" s="8" t="s">
        <v>140</v>
      </c>
      <c r="J59" s="4">
        <v>13321</v>
      </c>
    </row>
    <row r="60" spans="1:10" ht="18" x14ac:dyDescent="0.2">
      <c r="A60" s="2" t="s">
        <v>141</v>
      </c>
      <c r="B60" s="4">
        <v>12103</v>
      </c>
      <c r="C60" s="5">
        <v>0.25580000000000003</v>
      </c>
      <c r="D60" s="4">
        <v>35129</v>
      </c>
      <c r="E60" s="5">
        <v>0.74229999999999996</v>
      </c>
      <c r="F60" s="6">
        <v>91</v>
      </c>
      <c r="G60" s="7">
        <v>1.9E-3</v>
      </c>
      <c r="H60" s="4">
        <v>23026</v>
      </c>
      <c r="I60" s="5">
        <v>0.48659999999999998</v>
      </c>
      <c r="J60" s="4">
        <v>47323</v>
      </c>
    </row>
    <row r="61" spans="1:10" ht="18" x14ac:dyDescent="0.2">
      <c r="A61" s="2" t="s">
        <v>142</v>
      </c>
      <c r="B61" s="4">
        <v>36278</v>
      </c>
      <c r="C61" s="5">
        <v>0.60099999999999998</v>
      </c>
      <c r="D61" s="4">
        <v>23994</v>
      </c>
      <c r="E61" s="5">
        <v>0.39750000000000002</v>
      </c>
      <c r="F61" s="6">
        <v>95</v>
      </c>
      <c r="G61" s="7">
        <v>1.6000000000000001E-3</v>
      </c>
      <c r="H61" s="8" t="s">
        <v>143</v>
      </c>
      <c r="I61" s="8" t="s">
        <v>144</v>
      </c>
      <c r="J61" s="4">
        <v>60367</v>
      </c>
    </row>
    <row r="62" spans="1:10" ht="18" x14ac:dyDescent="0.2">
      <c r="A62" s="2" t="s">
        <v>145</v>
      </c>
      <c r="B62" s="4">
        <v>3654</v>
      </c>
      <c r="C62" s="5">
        <v>0.27700000000000002</v>
      </c>
      <c r="D62" s="4">
        <v>9512</v>
      </c>
      <c r="E62" s="5">
        <v>0.72119999999999995</v>
      </c>
      <c r="F62" s="6">
        <v>23</v>
      </c>
      <c r="G62" s="7">
        <v>1.6999999999999999E-3</v>
      </c>
      <c r="H62" s="4">
        <v>5858</v>
      </c>
      <c r="I62" s="5">
        <v>0.44419999999999998</v>
      </c>
      <c r="J62" s="4">
        <v>13189</v>
      </c>
    </row>
    <row r="63" spans="1:10" ht="18" x14ac:dyDescent="0.2">
      <c r="A63" s="2" t="s">
        <v>146</v>
      </c>
      <c r="B63" s="4">
        <v>45627</v>
      </c>
      <c r="C63" s="5">
        <v>0.30530000000000002</v>
      </c>
      <c r="D63" s="4">
        <v>103559</v>
      </c>
      <c r="E63" s="5">
        <v>0.69299999999999995</v>
      </c>
      <c r="F63" s="6">
        <v>260</v>
      </c>
      <c r="G63" s="7">
        <v>1.6999999999999999E-3</v>
      </c>
      <c r="H63" s="4">
        <v>57932</v>
      </c>
      <c r="I63" s="5">
        <v>0.3876</v>
      </c>
      <c r="J63" s="4">
        <v>149446</v>
      </c>
    </row>
    <row r="64" spans="1:10" ht="18" x14ac:dyDescent="0.2">
      <c r="A64" s="2" t="s">
        <v>147</v>
      </c>
      <c r="B64" s="4">
        <v>11150</v>
      </c>
      <c r="C64" s="5">
        <v>0.6371</v>
      </c>
      <c r="D64" s="4">
        <v>6320</v>
      </c>
      <c r="E64" s="5">
        <v>0.36109999999999998</v>
      </c>
      <c r="F64" s="6">
        <v>30</v>
      </c>
      <c r="G64" s="7">
        <v>1.6999999999999999E-3</v>
      </c>
      <c r="H64" s="8" t="s">
        <v>148</v>
      </c>
      <c r="I64" s="8" t="s">
        <v>149</v>
      </c>
      <c r="J64" s="4">
        <v>17500</v>
      </c>
    </row>
    <row r="65" spans="1:10" ht="18" x14ac:dyDescent="0.2">
      <c r="A65" s="2" t="s">
        <v>150</v>
      </c>
      <c r="B65" s="8">
        <v>831</v>
      </c>
      <c r="C65" s="5">
        <v>0.69599999999999995</v>
      </c>
      <c r="D65" s="8">
        <v>362</v>
      </c>
      <c r="E65" s="5">
        <v>0.30320000000000003</v>
      </c>
      <c r="F65" s="6">
        <v>1</v>
      </c>
      <c r="G65" s="7">
        <v>8.0000000000000004E-4</v>
      </c>
      <c r="H65" s="8" t="s">
        <v>151</v>
      </c>
      <c r="I65" s="8" t="s">
        <v>152</v>
      </c>
      <c r="J65" s="4">
        <v>1194</v>
      </c>
    </row>
    <row r="66" spans="1:10" ht="18" x14ac:dyDescent="0.2">
      <c r="A66" s="2" t="s">
        <v>153</v>
      </c>
      <c r="B66" s="4">
        <v>2610</v>
      </c>
      <c r="C66" s="5">
        <v>0.39100000000000001</v>
      </c>
      <c r="D66" s="4">
        <v>4052</v>
      </c>
      <c r="E66" s="5">
        <v>0.60699999999999998</v>
      </c>
      <c r="F66" s="6">
        <v>13</v>
      </c>
      <c r="G66" s="7">
        <v>1.9E-3</v>
      </c>
      <c r="H66" s="4">
        <v>1442</v>
      </c>
      <c r="I66" s="5">
        <v>0.216</v>
      </c>
      <c r="J66" s="4">
        <v>6675</v>
      </c>
    </row>
    <row r="67" spans="1:10" ht="18" x14ac:dyDescent="0.2">
      <c r="A67" s="2" t="s">
        <v>154</v>
      </c>
      <c r="B67" s="4">
        <v>10931</v>
      </c>
      <c r="C67" s="5">
        <v>0.56950000000000001</v>
      </c>
      <c r="D67" s="4">
        <v>8227</v>
      </c>
      <c r="E67" s="5">
        <v>0.42859999999999998</v>
      </c>
      <c r="F67" s="6">
        <v>37</v>
      </c>
      <c r="G67" s="7">
        <v>1.9E-3</v>
      </c>
      <c r="H67" s="8" t="s">
        <v>155</v>
      </c>
      <c r="I67" s="8" t="s">
        <v>156</v>
      </c>
      <c r="J67" s="4">
        <v>19195</v>
      </c>
    </row>
    <row r="68" spans="1:10" ht="18" x14ac:dyDescent="0.2">
      <c r="A68" s="2" t="s">
        <v>157</v>
      </c>
      <c r="B68" s="4">
        <v>19029</v>
      </c>
      <c r="C68" s="5">
        <v>0.44569999999999999</v>
      </c>
      <c r="D68" s="4">
        <v>23603</v>
      </c>
      <c r="E68" s="5">
        <v>0.55279999999999996</v>
      </c>
      <c r="F68" s="6">
        <v>63</v>
      </c>
      <c r="G68" s="7">
        <v>1.5E-3</v>
      </c>
      <c r="H68" s="4">
        <v>4574</v>
      </c>
      <c r="I68" s="5">
        <v>0.1071</v>
      </c>
      <c r="J68" s="4">
        <v>42695</v>
      </c>
    </row>
    <row r="69" spans="1:10" ht="18" x14ac:dyDescent="0.2">
      <c r="A69" s="2" t="s">
        <v>158</v>
      </c>
      <c r="B69" s="4">
        <v>1985</v>
      </c>
      <c r="C69" s="5">
        <v>0.60499999999999998</v>
      </c>
      <c r="D69" s="4">
        <v>1292</v>
      </c>
      <c r="E69" s="5">
        <v>0.39379999999999998</v>
      </c>
      <c r="F69" s="6">
        <v>4</v>
      </c>
      <c r="G69" s="7">
        <v>1.1999999999999999E-3</v>
      </c>
      <c r="H69" s="8" t="s">
        <v>159</v>
      </c>
      <c r="I69" s="8" t="s">
        <v>160</v>
      </c>
      <c r="J69" s="4">
        <v>3281</v>
      </c>
    </row>
    <row r="70" spans="1:10" ht="18" x14ac:dyDescent="0.2">
      <c r="A70" s="2" t="s">
        <v>161</v>
      </c>
      <c r="B70" s="4">
        <v>6909</v>
      </c>
      <c r="C70" s="5">
        <v>0.59330000000000005</v>
      </c>
      <c r="D70" s="4">
        <v>4716</v>
      </c>
      <c r="E70" s="5">
        <v>0.40500000000000003</v>
      </c>
      <c r="F70" s="6">
        <v>20</v>
      </c>
      <c r="G70" s="7">
        <v>1.6999999999999999E-3</v>
      </c>
      <c r="H70" s="8" t="s">
        <v>162</v>
      </c>
      <c r="I70" s="8" t="s">
        <v>163</v>
      </c>
      <c r="J70" s="4">
        <v>11645</v>
      </c>
    </row>
    <row r="71" spans="1:10" ht="18" x14ac:dyDescent="0.2">
      <c r="A71" s="2" t="s">
        <v>164</v>
      </c>
      <c r="B71" s="4">
        <v>6033</v>
      </c>
      <c r="C71" s="5">
        <v>0.66559999999999997</v>
      </c>
      <c r="D71" s="4">
        <v>3020</v>
      </c>
      <c r="E71" s="5">
        <v>0.3332</v>
      </c>
      <c r="F71" s="6">
        <v>11</v>
      </c>
      <c r="G71" s="7">
        <v>1.1999999999999999E-3</v>
      </c>
      <c r="H71" s="8" t="s">
        <v>165</v>
      </c>
      <c r="I71" s="8" t="s">
        <v>166</v>
      </c>
      <c r="J71" s="4">
        <v>9064</v>
      </c>
    </row>
    <row r="72" spans="1:10" ht="18" x14ac:dyDescent="0.2">
      <c r="A72" s="2" t="s">
        <v>167</v>
      </c>
      <c r="B72" s="4">
        <v>3283</v>
      </c>
      <c r="C72" s="5">
        <v>0.5444</v>
      </c>
      <c r="D72" s="4">
        <v>2734</v>
      </c>
      <c r="E72" s="5">
        <v>0.45340000000000003</v>
      </c>
      <c r="F72" s="6">
        <v>13</v>
      </c>
      <c r="G72" s="7">
        <v>2.2000000000000001E-3</v>
      </c>
      <c r="H72" s="8" t="s">
        <v>168</v>
      </c>
      <c r="I72" s="8" t="s">
        <v>169</v>
      </c>
      <c r="J72" s="4">
        <v>6030</v>
      </c>
    </row>
    <row r="73" spans="1:10" ht="18" x14ac:dyDescent="0.2">
      <c r="A73" s="2" t="s">
        <v>170</v>
      </c>
      <c r="B73" s="4">
        <v>5439</v>
      </c>
      <c r="C73" s="5">
        <v>0.84130000000000005</v>
      </c>
      <c r="D73" s="4">
        <v>1019</v>
      </c>
      <c r="E73" s="5">
        <v>0.15759999999999999</v>
      </c>
      <c r="F73" s="6">
        <v>7</v>
      </c>
      <c r="G73" s="7">
        <v>1.1000000000000001E-3</v>
      </c>
      <c r="H73" s="8" t="s">
        <v>171</v>
      </c>
      <c r="I73" s="8" t="s">
        <v>172</v>
      </c>
      <c r="J73" s="4">
        <v>6465</v>
      </c>
    </row>
    <row r="74" spans="1:10" ht="18" x14ac:dyDescent="0.2">
      <c r="A74" s="2" t="s">
        <v>173</v>
      </c>
      <c r="B74" s="8">
        <v>686</v>
      </c>
      <c r="C74" s="5">
        <v>0.31659999999999999</v>
      </c>
      <c r="D74" s="4">
        <v>1475</v>
      </c>
      <c r="E74" s="5">
        <v>0.68069999999999997</v>
      </c>
      <c r="F74" s="6">
        <v>6</v>
      </c>
      <c r="G74" s="7">
        <v>2.8E-3</v>
      </c>
      <c r="H74" s="8">
        <v>789</v>
      </c>
      <c r="I74" s="5">
        <v>0.36409999999999998</v>
      </c>
      <c r="J74" s="4">
        <v>2167</v>
      </c>
    </row>
    <row r="75" spans="1:10" ht="18" x14ac:dyDescent="0.2">
      <c r="A75" s="2" t="s">
        <v>174</v>
      </c>
      <c r="B75" s="4">
        <v>59278</v>
      </c>
      <c r="C75" s="5">
        <v>0.35220000000000001</v>
      </c>
      <c r="D75" s="4">
        <v>108594</v>
      </c>
      <c r="E75" s="5">
        <v>0.6452</v>
      </c>
      <c r="F75" s="6">
        <v>444</v>
      </c>
      <c r="G75" s="7">
        <v>2.5999999999999999E-3</v>
      </c>
      <c r="H75" s="4">
        <v>49316</v>
      </c>
      <c r="I75" s="5">
        <v>0.29299999999999998</v>
      </c>
      <c r="J75" s="4">
        <v>168316</v>
      </c>
    </row>
    <row r="76" spans="1:10" ht="18" x14ac:dyDescent="0.2">
      <c r="A76" s="2" t="s">
        <v>175</v>
      </c>
      <c r="B76" s="4">
        <v>11279</v>
      </c>
      <c r="C76" s="5">
        <v>0.59519999999999995</v>
      </c>
      <c r="D76" s="4">
        <v>7628</v>
      </c>
      <c r="E76" s="5">
        <v>0.40250000000000002</v>
      </c>
      <c r="F76" s="6">
        <v>44</v>
      </c>
      <c r="G76" s="7">
        <v>2.3E-3</v>
      </c>
      <c r="H76" s="8" t="s">
        <v>176</v>
      </c>
      <c r="I76" s="8" t="s">
        <v>177</v>
      </c>
      <c r="J76" s="4">
        <v>18951</v>
      </c>
    </row>
    <row r="77" spans="1:10" ht="18" x14ac:dyDescent="0.2">
      <c r="A77" s="2" t="s">
        <v>178</v>
      </c>
      <c r="B77" s="4">
        <v>2682</v>
      </c>
      <c r="C77" s="5">
        <v>0.59609999999999996</v>
      </c>
      <c r="D77" s="4">
        <v>1806</v>
      </c>
      <c r="E77" s="5">
        <v>0.40139999999999998</v>
      </c>
      <c r="F77" s="6">
        <v>11</v>
      </c>
      <c r="G77" s="7">
        <v>2.3999999999999998E-3</v>
      </c>
      <c r="H77" s="8" t="s">
        <v>179</v>
      </c>
      <c r="I77" s="8" t="s">
        <v>180</v>
      </c>
      <c r="J77" s="4">
        <v>4499</v>
      </c>
    </row>
    <row r="78" spans="1:10" ht="18" x14ac:dyDescent="0.2">
      <c r="A78" s="2" t="s">
        <v>181</v>
      </c>
      <c r="B78" s="4">
        <v>13508</v>
      </c>
      <c r="C78" s="5">
        <v>0.50409999999999999</v>
      </c>
      <c r="D78" s="4">
        <v>13231</v>
      </c>
      <c r="E78" s="5">
        <v>0.49380000000000002</v>
      </c>
      <c r="F78" s="6">
        <v>56</v>
      </c>
      <c r="G78" s="7">
        <v>2.0999999999999999E-3</v>
      </c>
      <c r="H78" s="8" t="s">
        <v>182</v>
      </c>
      <c r="I78" s="8" t="s">
        <v>183</v>
      </c>
      <c r="J78" s="4">
        <v>26795</v>
      </c>
    </row>
    <row r="79" spans="1:10" ht="18" x14ac:dyDescent="0.2">
      <c r="A79" s="2" t="s">
        <v>184</v>
      </c>
      <c r="B79" s="4">
        <v>4259</v>
      </c>
      <c r="C79" s="5">
        <v>0.6401</v>
      </c>
      <c r="D79" s="4">
        <v>2386</v>
      </c>
      <c r="E79" s="5">
        <v>0.35859999999999997</v>
      </c>
      <c r="F79" s="6">
        <v>9</v>
      </c>
      <c r="G79" s="7">
        <v>1.4E-3</v>
      </c>
      <c r="H79" s="8" t="s">
        <v>185</v>
      </c>
      <c r="I79" s="8" t="s">
        <v>186</v>
      </c>
      <c r="J79" s="4">
        <v>6654</v>
      </c>
    </row>
    <row r="80" spans="1:10" ht="18" x14ac:dyDescent="0.2">
      <c r="A80" s="2" t="s">
        <v>187</v>
      </c>
      <c r="B80" s="4">
        <v>4036</v>
      </c>
      <c r="C80" s="5">
        <v>0.34420000000000001</v>
      </c>
      <c r="D80" s="4">
        <v>7671</v>
      </c>
      <c r="E80" s="5">
        <v>0.6542</v>
      </c>
      <c r="F80" s="6">
        <v>18</v>
      </c>
      <c r="G80" s="7">
        <v>1.5E-3</v>
      </c>
      <c r="H80" s="4">
        <v>3635</v>
      </c>
      <c r="I80" s="5">
        <v>0.31</v>
      </c>
      <c r="J80" s="4">
        <v>11725</v>
      </c>
    </row>
    <row r="81" spans="1:10" ht="18" x14ac:dyDescent="0.2">
      <c r="A81" s="2" t="s">
        <v>188</v>
      </c>
      <c r="B81" s="4">
        <v>1151</v>
      </c>
      <c r="C81" s="5">
        <v>0.28720000000000001</v>
      </c>
      <c r="D81" s="4">
        <v>2852</v>
      </c>
      <c r="E81" s="5">
        <v>0.71160000000000001</v>
      </c>
      <c r="F81" s="6">
        <v>5</v>
      </c>
      <c r="G81" s="7">
        <v>1.1999999999999999E-3</v>
      </c>
      <c r="H81" s="4">
        <v>1701</v>
      </c>
      <c r="I81" s="5">
        <v>0.4244</v>
      </c>
      <c r="J81" s="4">
        <v>4008</v>
      </c>
    </row>
    <row r="82" spans="1:10" ht="18" x14ac:dyDescent="0.2">
      <c r="A82" s="2" t="s">
        <v>189</v>
      </c>
      <c r="B82" s="4">
        <v>1451</v>
      </c>
      <c r="C82" s="5">
        <v>0.36349999999999999</v>
      </c>
      <c r="D82" s="4">
        <v>2534</v>
      </c>
      <c r="E82" s="5">
        <v>0.63480000000000003</v>
      </c>
      <c r="F82" s="6">
        <v>7</v>
      </c>
      <c r="G82" s="7">
        <v>1.8E-3</v>
      </c>
      <c r="H82" s="4">
        <v>1083</v>
      </c>
      <c r="I82" s="5">
        <v>0.27129999999999999</v>
      </c>
      <c r="J82" s="4">
        <v>3992</v>
      </c>
    </row>
    <row r="83" spans="1:10" ht="18" x14ac:dyDescent="0.2">
      <c r="A83" s="2" t="s">
        <v>190</v>
      </c>
      <c r="B83" s="4">
        <v>3242</v>
      </c>
      <c r="C83" s="5">
        <v>0.67510000000000003</v>
      </c>
      <c r="D83" s="4">
        <v>1555</v>
      </c>
      <c r="E83" s="5">
        <v>0.32379999999999998</v>
      </c>
      <c r="F83" s="6">
        <v>5</v>
      </c>
      <c r="G83" s="7">
        <v>1E-3</v>
      </c>
      <c r="H83" s="8" t="s">
        <v>191</v>
      </c>
      <c r="I83" s="8" t="s">
        <v>192</v>
      </c>
      <c r="J83" s="4">
        <v>4802</v>
      </c>
    </row>
    <row r="84" spans="1:10" ht="18" x14ac:dyDescent="0.2">
      <c r="A84" s="2" t="s">
        <v>193</v>
      </c>
      <c r="B84" s="4">
        <v>7151</v>
      </c>
      <c r="C84" s="5">
        <v>0.60499999999999998</v>
      </c>
      <c r="D84" s="4">
        <v>4657</v>
      </c>
      <c r="E84" s="5">
        <v>0.39400000000000002</v>
      </c>
      <c r="F84" s="6">
        <v>11</v>
      </c>
      <c r="G84" s="7">
        <v>8.9999999999999998E-4</v>
      </c>
      <c r="H84" s="8" t="s">
        <v>194</v>
      </c>
      <c r="I84" s="8" t="s">
        <v>195</v>
      </c>
      <c r="J84" s="4">
        <v>11819</v>
      </c>
    </row>
    <row r="85" spans="1:10" ht="18" x14ac:dyDescent="0.2">
      <c r="A85" s="2" t="s">
        <v>196</v>
      </c>
      <c r="B85" s="4">
        <v>3473</v>
      </c>
      <c r="C85" s="5">
        <v>0.61439999999999995</v>
      </c>
      <c r="D85" s="4">
        <v>2174</v>
      </c>
      <c r="E85" s="5">
        <v>0.3846</v>
      </c>
      <c r="F85" s="6">
        <v>6</v>
      </c>
      <c r="G85" s="7">
        <v>1.1000000000000001E-3</v>
      </c>
      <c r="H85" s="8" t="s">
        <v>197</v>
      </c>
      <c r="I85" s="8" t="s">
        <v>198</v>
      </c>
      <c r="J85" s="4">
        <v>5653</v>
      </c>
    </row>
    <row r="86" spans="1:10" ht="18" x14ac:dyDescent="0.2">
      <c r="A86" s="2" t="s">
        <v>199</v>
      </c>
      <c r="B86" s="4">
        <v>15228</v>
      </c>
      <c r="C86" s="5">
        <v>0.41460000000000002</v>
      </c>
      <c r="D86" s="4">
        <v>21428</v>
      </c>
      <c r="E86" s="5">
        <v>0.58340000000000003</v>
      </c>
      <c r="F86" s="6">
        <v>76</v>
      </c>
      <c r="G86" s="7">
        <v>2.0999999999999999E-3</v>
      </c>
      <c r="H86" s="4">
        <v>6200</v>
      </c>
      <c r="I86" s="5">
        <v>0.16880000000000001</v>
      </c>
      <c r="J86" s="4">
        <v>36732</v>
      </c>
    </row>
    <row r="87" spans="1:10" ht="18" x14ac:dyDescent="0.2">
      <c r="A87" s="2" t="s">
        <v>200</v>
      </c>
      <c r="B87" s="4">
        <v>3828</v>
      </c>
      <c r="C87" s="5">
        <v>0.4955</v>
      </c>
      <c r="D87" s="4">
        <v>3880</v>
      </c>
      <c r="E87" s="5">
        <v>0.50229999999999997</v>
      </c>
      <c r="F87" s="6">
        <v>17</v>
      </c>
      <c r="G87" s="7">
        <v>2.2000000000000001E-3</v>
      </c>
      <c r="H87" s="8">
        <v>52</v>
      </c>
      <c r="I87" s="5">
        <v>6.7000000000000002E-3</v>
      </c>
      <c r="J87" s="4">
        <v>7725</v>
      </c>
    </row>
    <row r="88" spans="1:10" ht="18" x14ac:dyDescent="0.2">
      <c r="A88" s="2" t="s">
        <v>201</v>
      </c>
      <c r="B88" s="4">
        <v>8804</v>
      </c>
      <c r="C88" s="5">
        <v>0.63280000000000003</v>
      </c>
      <c r="D88" s="4">
        <v>5087</v>
      </c>
      <c r="E88" s="5">
        <v>0.36559999999999998</v>
      </c>
      <c r="F88" s="6">
        <v>22</v>
      </c>
      <c r="G88" s="7">
        <v>1.6000000000000001E-3</v>
      </c>
      <c r="H88" s="8" t="s">
        <v>202</v>
      </c>
      <c r="I88" s="8" t="s">
        <v>203</v>
      </c>
      <c r="J88" s="4">
        <v>13913</v>
      </c>
    </row>
    <row r="89" spans="1:10" ht="18" x14ac:dyDescent="0.2">
      <c r="A89" s="2" t="s">
        <v>204</v>
      </c>
      <c r="B89" s="4">
        <v>17461</v>
      </c>
      <c r="C89" s="5">
        <v>0.30909999999999999</v>
      </c>
      <c r="D89" s="4">
        <v>38936</v>
      </c>
      <c r="E89" s="5">
        <v>0.68930000000000002</v>
      </c>
      <c r="F89" s="6">
        <v>92</v>
      </c>
      <c r="G89" s="7">
        <v>1.6000000000000001E-3</v>
      </c>
      <c r="H89" s="4">
        <v>21475</v>
      </c>
      <c r="I89" s="5">
        <v>0.38019999999999998</v>
      </c>
      <c r="J89" s="4">
        <v>56489</v>
      </c>
    </row>
    <row r="90" spans="1:10" ht="18" x14ac:dyDescent="0.2">
      <c r="A90" s="2" t="s">
        <v>205</v>
      </c>
      <c r="B90" s="4">
        <v>15509</v>
      </c>
      <c r="C90" s="5">
        <v>0.24149999999999999</v>
      </c>
      <c r="D90" s="4">
        <v>48599</v>
      </c>
      <c r="E90" s="5">
        <v>0.75680000000000003</v>
      </c>
      <c r="F90" s="6">
        <v>111</v>
      </c>
      <c r="G90" s="7">
        <v>1.6999999999999999E-3</v>
      </c>
      <c r="H90" s="4">
        <v>33090</v>
      </c>
      <c r="I90" s="5">
        <v>0.51529999999999998</v>
      </c>
      <c r="J90" s="4">
        <v>64219</v>
      </c>
    </row>
    <row r="91" spans="1:10" ht="18" x14ac:dyDescent="0.2">
      <c r="A91" s="2" t="s">
        <v>206</v>
      </c>
      <c r="B91" s="4">
        <v>2469</v>
      </c>
      <c r="C91" s="5">
        <v>0.44590000000000002</v>
      </c>
      <c r="D91" s="4">
        <v>3060</v>
      </c>
      <c r="E91" s="5">
        <v>0.55259999999999998</v>
      </c>
      <c r="F91" s="6">
        <v>8</v>
      </c>
      <c r="G91" s="7">
        <v>1.4E-3</v>
      </c>
      <c r="H91" s="8">
        <v>591</v>
      </c>
      <c r="I91" s="5">
        <v>0.1067</v>
      </c>
      <c r="J91" s="4">
        <v>5537</v>
      </c>
    </row>
    <row r="92" spans="1:10" ht="18" x14ac:dyDescent="0.2">
      <c r="A92" s="2" t="s">
        <v>207</v>
      </c>
      <c r="B92" s="4">
        <v>4132</v>
      </c>
      <c r="C92" s="5">
        <v>0.60470000000000002</v>
      </c>
      <c r="D92" s="4">
        <v>2685</v>
      </c>
      <c r="E92" s="5">
        <v>0.39290000000000003</v>
      </c>
      <c r="F92" s="6">
        <v>16</v>
      </c>
      <c r="G92" s="7">
        <v>2.3E-3</v>
      </c>
      <c r="H92" s="8" t="s">
        <v>208</v>
      </c>
      <c r="I92" s="8" t="s">
        <v>209</v>
      </c>
      <c r="J92" s="4">
        <v>6833</v>
      </c>
    </row>
    <row r="93" spans="1:10" ht="18" x14ac:dyDescent="0.2">
      <c r="A93" s="2" t="s">
        <v>210</v>
      </c>
      <c r="B93" s="8">
        <v>721</v>
      </c>
      <c r="C93" s="5">
        <v>0.68340000000000001</v>
      </c>
      <c r="D93" s="8">
        <v>332</v>
      </c>
      <c r="E93" s="5">
        <v>0.31469999999999998</v>
      </c>
      <c r="F93" s="6">
        <v>2</v>
      </c>
      <c r="G93" s="7">
        <v>1.9E-3</v>
      </c>
      <c r="H93" s="8" t="s">
        <v>211</v>
      </c>
      <c r="I93" s="8" t="s">
        <v>212</v>
      </c>
      <c r="J93" s="4">
        <v>1055</v>
      </c>
    </row>
    <row r="94" spans="1:10" ht="18" x14ac:dyDescent="0.2">
      <c r="A94" s="2" t="s">
        <v>213</v>
      </c>
      <c r="B94" s="4">
        <v>3122</v>
      </c>
      <c r="C94" s="5">
        <v>0.57909999999999995</v>
      </c>
      <c r="D94" s="4">
        <v>2258</v>
      </c>
      <c r="E94" s="5">
        <v>0.41880000000000001</v>
      </c>
      <c r="F94" s="6">
        <v>11</v>
      </c>
      <c r="G94" s="7">
        <v>2E-3</v>
      </c>
      <c r="H94" s="8" t="s">
        <v>214</v>
      </c>
      <c r="I94" s="8" t="s">
        <v>215</v>
      </c>
      <c r="J94" s="4">
        <v>5391</v>
      </c>
    </row>
    <row r="95" spans="1:10" ht="18" x14ac:dyDescent="0.2">
      <c r="A95" s="2" t="s">
        <v>216</v>
      </c>
      <c r="B95" s="4">
        <v>9938</v>
      </c>
      <c r="C95" s="5">
        <v>0.57340000000000002</v>
      </c>
      <c r="D95" s="4">
        <v>7361</v>
      </c>
      <c r="E95" s="5">
        <v>0.42470000000000002</v>
      </c>
      <c r="F95" s="6">
        <v>33</v>
      </c>
      <c r="G95" s="7">
        <v>1.9E-3</v>
      </c>
      <c r="H95" s="8" t="s">
        <v>217</v>
      </c>
      <c r="I95" s="8" t="s">
        <v>218</v>
      </c>
      <c r="J95" s="4">
        <v>17332</v>
      </c>
    </row>
    <row r="96" spans="1:10" ht="18" x14ac:dyDescent="0.2">
      <c r="A96" s="2" t="s">
        <v>219</v>
      </c>
      <c r="B96" s="4">
        <v>6940</v>
      </c>
      <c r="C96" s="5">
        <v>0.74390000000000001</v>
      </c>
      <c r="D96" s="4">
        <v>2365</v>
      </c>
      <c r="E96" s="5">
        <v>0.2535</v>
      </c>
      <c r="F96" s="6">
        <v>24</v>
      </c>
      <c r="G96" s="7">
        <v>2.5999999999999999E-3</v>
      </c>
      <c r="H96" s="8" t="s">
        <v>220</v>
      </c>
      <c r="I96" s="8" t="s">
        <v>221</v>
      </c>
      <c r="J96" s="4">
        <v>9329</v>
      </c>
    </row>
    <row r="97" spans="1:10" ht="18" x14ac:dyDescent="0.2">
      <c r="A97" s="2" t="s">
        <v>222</v>
      </c>
      <c r="B97" s="4">
        <v>5119</v>
      </c>
      <c r="C97" s="5">
        <v>0.7742</v>
      </c>
      <c r="D97" s="4">
        <v>1488</v>
      </c>
      <c r="E97" s="5">
        <v>0.22500000000000001</v>
      </c>
      <c r="F97" s="6">
        <v>5</v>
      </c>
      <c r="G97" s="7">
        <v>8.0000000000000004E-4</v>
      </c>
      <c r="H97" s="8" t="s">
        <v>223</v>
      </c>
      <c r="I97" s="8" t="s">
        <v>224</v>
      </c>
      <c r="J97" s="4">
        <v>6612</v>
      </c>
    </row>
    <row r="98" spans="1:10" ht="18" x14ac:dyDescent="0.2">
      <c r="A98" s="2" t="s">
        <v>225</v>
      </c>
      <c r="B98" s="4">
        <v>1124</v>
      </c>
      <c r="C98" s="5">
        <v>0.1129</v>
      </c>
      <c r="D98" s="4">
        <v>8811</v>
      </c>
      <c r="E98" s="5">
        <v>0.88460000000000005</v>
      </c>
      <c r="F98" s="6">
        <v>25</v>
      </c>
      <c r="G98" s="7">
        <v>2.5000000000000001E-3</v>
      </c>
      <c r="H98" s="4">
        <v>7687</v>
      </c>
      <c r="I98" s="5">
        <v>0.77180000000000004</v>
      </c>
      <c r="J98" s="4">
        <v>9960</v>
      </c>
    </row>
    <row r="99" spans="1:10" ht="18" x14ac:dyDescent="0.2">
      <c r="A99" s="2" t="s">
        <v>226</v>
      </c>
      <c r="B99" s="4">
        <v>17439</v>
      </c>
      <c r="C99" s="5">
        <v>0.7046</v>
      </c>
      <c r="D99" s="4">
        <v>7272</v>
      </c>
      <c r="E99" s="5">
        <v>0.29380000000000001</v>
      </c>
      <c r="F99" s="6">
        <v>38</v>
      </c>
      <c r="G99" s="7">
        <v>1.5E-3</v>
      </c>
      <c r="H99" s="8" t="s">
        <v>227</v>
      </c>
      <c r="I99" s="8" t="s">
        <v>228</v>
      </c>
      <c r="J99" s="4">
        <v>24749</v>
      </c>
    </row>
    <row r="100" spans="1:10" ht="18" x14ac:dyDescent="0.2">
      <c r="A100" s="2" t="s">
        <v>229</v>
      </c>
      <c r="B100" s="4">
        <v>4384</v>
      </c>
      <c r="C100" s="5">
        <v>0.70009999999999994</v>
      </c>
      <c r="D100" s="4">
        <v>1862</v>
      </c>
      <c r="E100" s="5">
        <v>0.29730000000000001</v>
      </c>
      <c r="F100" s="6">
        <v>16</v>
      </c>
      <c r="G100" s="7">
        <v>2.5999999999999999E-3</v>
      </c>
      <c r="H100" s="8" t="s">
        <v>230</v>
      </c>
      <c r="I100" s="8" t="s">
        <v>231</v>
      </c>
      <c r="J100" s="4">
        <v>6262</v>
      </c>
    </row>
    <row r="101" spans="1:10" ht="18" x14ac:dyDescent="0.2">
      <c r="A101" s="2" t="s">
        <v>232</v>
      </c>
      <c r="B101" s="4">
        <v>8351</v>
      </c>
      <c r="C101" s="5">
        <v>0.26550000000000001</v>
      </c>
      <c r="D101" s="4">
        <v>23040</v>
      </c>
      <c r="E101" s="5">
        <v>0.73250000000000004</v>
      </c>
      <c r="F101" s="6">
        <v>62</v>
      </c>
      <c r="G101" s="7">
        <v>2E-3</v>
      </c>
      <c r="H101" s="4">
        <v>14689</v>
      </c>
      <c r="I101" s="5">
        <v>0.46700000000000003</v>
      </c>
      <c r="J101" s="4">
        <v>31453</v>
      </c>
    </row>
    <row r="102" spans="1:10" ht="18" x14ac:dyDescent="0.2">
      <c r="A102" s="2" t="s">
        <v>233</v>
      </c>
      <c r="B102" s="4">
        <v>11862</v>
      </c>
      <c r="C102" s="5">
        <v>0.69569999999999999</v>
      </c>
      <c r="D102" s="4">
        <v>5168</v>
      </c>
      <c r="E102" s="5">
        <v>0.30309999999999998</v>
      </c>
      <c r="F102" s="6">
        <v>21</v>
      </c>
      <c r="G102" s="7">
        <v>1.1999999999999999E-3</v>
      </c>
      <c r="H102" s="8" t="s">
        <v>234</v>
      </c>
      <c r="I102" s="8" t="s">
        <v>235</v>
      </c>
      <c r="J102" s="4">
        <v>17051</v>
      </c>
    </row>
    <row r="103" spans="1:10" ht="18" x14ac:dyDescent="0.2">
      <c r="A103" s="2" t="s">
        <v>236</v>
      </c>
      <c r="B103" s="4">
        <v>3668</v>
      </c>
      <c r="C103" s="5">
        <v>0.49199999999999999</v>
      </c>
      <c r="D103" s="4">
        <v>3767</v>
      </c>
      <c r="E103" s="5">
        <v>0.50529999999999997</v>
      </c>
      <c r="F103" s="6">
        <v>20</v>
      </c>
      <c r="G103" s="7">
        <v>2.7000000000000001E-3</v>
      </c>
      <c r="H103" s="8">
        <v>99</v>
      </c>
      <c r="I103" s="5">
        <v>1.3299999999999999E-2</v>
      </c>
      <c r="J103" s="4">
        <v>7455</v>
      </c>
    </row>
    <row r="104" spans="1:10" ht="18" x14ac:dyDescent="0.2">
      <c r="A104" s="2" t="s">
        <v>237</v>
      </c>
      <c r="B104" s="4">
        <v>7986</v>
      </c>
      <c r="C104" s="5">
        <v>0.5827</v>
      </c>
      <c r="D104" s="4">
        <v>5707</v>
      </c>
      <c r="E104" s="5">
        <v>0.41639999999999999</v>
      </c>
      <c r="F104" s="6">
        <v>13</v>
      </c>
      <c r="G104" s="7">
        <v>8.9999999999999998E-4</v>
      </c>
      <c r="H104" s="8" t="s">
        <v>238</v>
      </c>
      <c r="I104" s="8" t="s">
        <v>239</v>
      </c>
      <c r="J104" s="4">
        <v>13706</v>
      </c>
    </row>
    <row r="105" spans="1:10" ht="18" x14ac:dyDescent="0.2">
      <c r="A105" s="2" t="s">
        <v>240</v>
      </c>
      <c r="B105" s="4">
        <v>54309</v>
      </c>
      <c r="C105" s="5">
        <v>0.32740000000000002</v>
      </c>
      <c r="D105" s="4">
        <v>111198</v>
      </c>
      <c r="E105" s="5">
        <v>0.67030000000000001</v>
      </c>
      <c r="F105" s="6">
        <v>381</v>
      </c>
      <c r="G105" s="7">
        <v>2.3E-3</v>
      </c>
      <c r="H105" s="4">
        <v>56889</v>
      </c>
      <c r="I105" s="5">
        <v>0.34289999999999998</v>
      </c>
      <c r="J105" s="4">
        <v>165888</v>
      </c>
    </row>
    <row r="106" spans="1:10" ht="18" x14ac:dyDescent="0.2">
      <c r="A106" s="2" t="s">
        <v>241</v>
      </c>
      <c r="B106" s="4">
        <v>8607</v>
      </c>
      <c r="C106" s="5">
        <v>0.6855</v>
      </c>
      <c r="D106" s="4">
        <v>3927</v>
      </c>
      <c r="E106" s="5">
        <v>0.31280000000000002</v>
      </c>
      <c r="F106" s="6">
        <v>22</v>
      </c>
      <c r="G106" s="7">
        <v>1.8E-3</v>
      </c>
      <c r="H106" s="8" t="s">
        <v>242</v>
      </c>
      <c r="I106" s="8" t="s">
        <v>243</v>
      </c>
      <c r="J106" s="4">
        <v>12556</v>
      </c>
    </row>
    <row r="107" spans="1:10" ht="18" x14ac:dyDescent="0.2">
      <c r="A107" s="2" t="s">
        <v>244</v>
      </c>
      <c r="B107" s="4">
        <v>2050</v>
      </c>
      <c r="C107" s="5">
        <v>0.43680000000000002</v>
      </c>
      <c r="D107" s="4">
        <v>2632</v>
      </c>
      <c r="E107" s="5">
        <v>0.56079999999999997</v>
      </c>
      <c r="F107" s="6">
        <v>11</v>
      </c>
      <c r="G107" s="7">
        <v>2.3E-3</v>
      </c>
      <c r="H107" s="8">
        <v>582</v>
      </c>
      <c r="I107" s="5">
        <v>0.124</v>
      </c>
      <c r="J107" s="4">
        <v>4693</v>
      </c>
    </row>
    <row r="108" spans="1:10" ht="18" x14ac:dyDescent="0.2">
      <c r="A108" s="2" t="s">
        <v>245</v>
      </c>
      <c r="B108" s="4">
        <v>2231</v>
      </c>
      <c r="C108" s="5">
        <v>0.55100000000000005</v>
      </c>
      <c r="D108" s="4">
        <v>1812</v>
      </c>
      <c r="E108" s="5">
        <v>0.44750000000000001</v>
      </c>
      <c r="F108" s="6">
        <v>6</v>
      </c>
      <c r="G108" s="7">
        <v>1.5E-3</v>
      </c>
      <c r="H108" s="8" t="s">
        <v>246</v>
      </c>
      <c r="I108" s="8" t="s">
        <v>247</v>
      </c>
      <c r="J108" s="4">
        <v>4049</v>
      </c>
    </row>
    <row r="109" spans="1:10" ht="18" x14ac:dyDescent="0.2">
      <c r="A109" s="2" t="s">
        <v>248</v>
      </c>
      <c r="B109" s="4">
        <v>11883</v>
      </c>
      <c r="C109" s="5">
        <v>0.13039999999999999</v>
      </c>
      <c r="D109" s="4">
        <v>79019</v>
      </c>
      <c r="E109" s="5">
        <v>0.86729999999999996</v>
      </c>
      <c r="F109" s="6">
        <v>212</v>
      </c>
      <c r="G109" s="7">
        <v>2.3E-3</v>
      </c>
      <c r="H109" s="4">
        <v>67136</v>
      </c>
      <c r="I109" s="5">
        <v>0.73680000000000001</v>
      </c>
      <c r="J109" s="4">
        <v>91114</v>
      </c>
    </row>
    <row r="110" spans="1:10" ht="18" x14ac:dyDescent="0.2">
      <c r="A110" s="2" t="s">
        <v>249</v>
      </c>
      <c r="B110" s="4">
        <v>1997</v>
      </c>
      <c r="C110" s="5">
        <v>0.63880000000000003</v>
      </c>
      <c r="D110" s="4">
        <v>1124</v>
      </c>
      <c r="E110" s="5">
        <v>0.35959999999999998</v>
      </c>
      <c r="F110" s="6">
        <v>5</v>
      </c>
      <c r="G110" s="7">
        <v>1.6000000000000001E-3</v>
      </c>
      <c r="H110" s="8" t="s">
        <v>250</v>
      </c>
      <c r="I110" s="8" t="s">
        <v>251</v>
      </c>
      <c r="J110" s="4">
        <v>3126</v>
      </c>
    </row>
    <row r="111" spans="1:10" ht="18" x14ac:dyDescent="0.2">
      <c r="A111" s="2" t="s">
        <v>252</v>
      </c>
      <c r="B111" s="4">
        <v>10153</v>
      </c>
      <c r="C111" s="5">
        <v>0.32819999999999999</v>
      </c>
      <c r="D111" s="4">
        <v>20700</v>
      </c>
      <c r="E111" s="5">
        <v>0.66910000000000003</v>
      </c>
      <c r="F111" s="6">
        <v>83</v>
      </c>
      <c r="G111" s="7">
        <v>2.7000000000000001E-3</v>
      </c>
      <c r="H111" s="4">
        <v>10547</v>
      </c>
      <c r="I111" s="5">
        <v>0.34089999999999998</v>
      </c>
      <c r="J111" s="4">
        <v>30936</v>
      </c>
    </row>
    <row r="112" spans="1:10" ht="18" x14ac:dyDescent="0.2">
      <c r="A112" s="2" t="s">
        <v>253</v>
      </c>
      <c r="B112" s="4">
        <v>24728</v>
      </c>
      <c r="C112" s="5">
        <v>0.5766</v>
      </c>
      <c r="D112" s="4">
        <v>18062</v>
      </c>
      <c r="E112" s="5">
        <v>0.42120000000000002</v>
      </c>
      <c r="F112" s="6">
        <v>97</v>
      </c>
      <c r="G112" s="7">
        <v>2.3E-3</v>
      </c>
      <c r="H112" s="8" t="s">
        <v>254</v>
      </c>
      <c r="I112" s="8" t="s">
        <v>255</v>
      </c>
      <c r="J112" s="4">
        <v>42887</v>
      </c>
    </row>
    <row r="113" spans="1:10" ht="18" x14ac:dyDescent="0.2">
      <c r="A113" s="2" t="s">
        <v>256</v>
      </c>
      <c r="B113" s="4">
        <v>6599</v>
      </c>
      <c r="C113" s="5">
        <v>0.64929999999999999</v>
      </c>
      <c r="D113" s="4">
        <v>3557</v>
      </c>
      <c r="E113" s="5">
        <v>0.35</v>
      </c>
      <c r="F113" s="6">
        <v>7</v>
      </c>
      <c r="G113" s="7">
        <v>6.9999999999999999E-4</v>
      </c>
      <c r="H113" s="8" t="s">
        <v>257</v>
      </c>
      <c r="I113" s="8" t="s">
        <v>258</v>
      </c>
      <c r="J113" s="4">
        <v>10163</v>
      </c>
    </row>
    <row r="114" spans="1:10" ht="18" x14ac:dyDescent="0.2">
      <c r="A114" s="2" t="s">
        <v>259</v>
      </c>
      <c r="B114" s="4">
        <v>24498</v>
      </c>
      <c r="C114" s="5">
        <v>0.67679999999999996</v>
      </c>
      <c r="D114" s="4">
        <v>11622</v>
      </c>
      <c r="E114" s="5">
        <v>0.3211</v>
      </c>
      <c r="F114" s="6">
        <v>76</v>
      </c>
      <c r="G114" s="7">
        <v>2.0999999999999999E-3</v>
      </c>
      <c r="H114" s="8" t="s">
        <v>260</v>
      </c>
      <c r="I114" s="8" t="s">
        <v>261</v>
      </c>
      <c r="J114" s="4">
        <v>36196</v>
      </c>
    </row>
    <row r="115" spans="1:10" ht="18" x14ac:dyDescent="0.2">
      <c r="A115" s="2" t="s">
        <v>262</v>
      </c>
      <c r="B115" s="4">
        <v>7268</v>
      </c>
      <c r="C115" s="5">
        <v>0.81130000000000002</v>
      </c>
      <c r="D115" s="4">
        <v>1673</v>
      </c>
      <c r="E115" s="5">
        <v>0.18679999999999999</v>
      </c>
      <c r="F115" s="6">
        <v>17</v>
      </c>
      <c r="G115" s="7">
        <v>1.9E-3</v>
      </c>
      <c r="H115" s="8" t="s">
        <v>263</v>
      </c>
      <c r="I115" s="8" t="s">
        <v>264</v>
      </c>
      <c r="J115" s="4">
        <v>8958</v>
      </c>
    </row>
    <row r="116" spans="1:10" ht="18" x14ac:dyDescent="0.2">
      <c r="A116" s="2" t="s">
        <v>265</v>
      </c>
      <c r="B116" s="4">
        <v>5282</v>
      </c>
      <c r="C116" s="5">
        <v>0.55810000000000004</v>
      </c>
      <c r="D116" s="4">
        <v>4150</v>
      </c>
      <c r="E116" s="5">
        <v>0.4385</v>
      </c>
      <c r="F116" s="6">
        <v>32</v>
      </c>
      <c r="G116" s="7">
        <v>3.3999999999999998E-3</v>
      </c>
      <c r="H116" s="8" t="s">
        <v>266</v>
      </c>
      <c r="I116" s="8" t="s">
        <v>267</v>
      </c>
      <c r="J116" s="4">
        <v>9464</v>
      </c>
    </row>
    <row r="117" spans="1:10" ht="18" x14ac:dyDescent="0.2">
      <c r="A117" s="2" t="s">
        <v>268</v>
      </c>
      <c r="B117" s="4">
        <v>6103</v>
      </c>
      <c r="C117" s="5">
        <v>0.83</v>
      </c>
      <c r="D117" s="4">
        <v>1235</v>
      </c>
      <c r="E117" s="5">
        <v>0.16800000000000001</v>
      </c>
      <c r="F117" s="6">
        <v>15</v>
      </c>
      <c r="G117" s="7">
        <v>2E-3</v>
      </c>
      <c r="H117" s="8" t="s">
        <v>269</v>
      </c>
      <c r="I117" s="8" t="s">
        <v>270</v>
      </c>
      <c r="J117" s="4">
        <v>7353</v>
      </c>
    </row>
    <row r="118" spans="1:10" ht="18" x14ac:dyDescent="0.2">
      <c r="A118" s="2" t="s">
        <v>271</v>
      </c>
      <c r="B118" s="4">
        <v>12488</v>
      </c>
      <c r="C118" s="5">
        <v>0.68530000000000002</v>
      </c>
      <c r="D118" s="4">
        <v>5698</v>
      </c>
      <c r="E118" s="5">
        <v>0.31269999999999998</v>
      </c>
      <c r="F118" s="6">
        <v>37</v>
      </c>
      <c r="G118" s="7">
        <v>2E-3</v>
      </c>
      <c r="H118" s="8" t="s">
        <v>272</v>
      </c>
      <c r="I118" s="8" t="s">
        <v>273</v>
      </c>
      <c r="J118" s="4">
        <v>18223</v>
      </c>
    </row>
    <row r="119" spans="1:10" ht="18" x14ac:dyDescent="0.2">
      <c r="A119" s="2" t="s">
        <v>274</v>
      </c>
      <c r="B119" s="4">
        <v>7712</v>
      </c>
      <c r="C119" s="5">
        <v>0.76900000000000002</v>
      </c>
      <c r="D119" s="4">
        <v>2298</v>
      </c>
      <c r="E119" s="5">
        <v>0.22919999999999999</v>
      </c>
      <c r="F119" s="6">
        <v>18</v>
      </c>
      <c r="G119" s="7">
        <v>1.8E-3</v>
      </c>
      <c r="H119" s="8" t="s">
        <v>275</v>
      </c>
      <c r="I119" s="8" t="s">
        <v>276</v>
      </c>
      <c r="J119" s="4">
        <v>10028</v>
      </c>
    </row>
    <row r="120" spans="1:10" ht="18" x14ac:dyDescent="0.2">
      <c r="A120" s="2" t="s">
        <v>277</v>
      </c>
      <c r="B120" s="4">
        <v>4492</v>
      </c>
      <c r="C120" s="5">
        <v>0.60340000000000005</v>
      </c>
      <c r="D120" s="4">
        <v>2945</v>
      </c>
      <c r="E120" s="5">
        <v>0.39560000000000001</v>
      </c>
      <c r="F120" s="6">
        <v>8</v>
      </c>
      <c r="G120" s="7">
        <v>1.1000000000000001E-3</v>
      </c>
      <c r="H120" s="8" t="s">
        <v>278</v>
      </c>
      <c r="I120" s="8" t="s">
        <v>279</v>
      </c>
      <c r="J120" s="4">
        <v>7445</v>
      </c>
    </row>
    <row r="121" spans="1:10" ht="18" x14ac:dyDescent="0.2">
      <c r="A121" s="2" t="s">
        <v>280</v>
      </c>
      <c r="B121" s="4">
        <v>29015</v>
      </c>
      <c r="C121" s="5">
        <v>0.48470000000000002</v>
      </c>
      <c r="D121" s="4">
        <v>30748</v>
      </c>
      <c r="E121" s="5">
        <v>0.51359999999999995</v>
      </c>
      <c r="F121" s="6">
        <v>104</v>
      </c>
      <c r="G121" s="7">
        <v>1.6999999999999999E-3</v>
      </c>
      <c r="H121" s="4">
        <v>1733</v>
      </c>
      <c r="I121" s="5">
        <v>2.8899999999999999E-2</v>
      </c>
      <c r="J121" s="4">
        <v>59867</v>
      </c>
    </row>
    <row r="122" spans="1:10" ht="18" x14ac:dyDescent="0.2">
      <c r="A122" s="2" t="s">
        <v>281</v>
      </c>
      <c r="B122" s="4">
        <v>27774</v>
      </c>
      <c r="C122" s="5">
        <v>0.43940000000000001</v>
      </c>
      <c r="D122" s="4">
        <v>35327</v>
      </c>
      <c r="E122" s="5">
        <v>0.55879999999999996</v>
      </c>
      <c r="F122" s="6">
        <v>115</v>
      </c>
      <c r="G122" s="7">
        <v>1.8E-3</v>
      </c>
      <c r="H122" s="4">
        <v>7553</v>
      </c>
      <c r="I122" s="5">
        <v>0.1195</v>
      </c>
      <c r="J122" s="4">
        <v>63216</v>
      </c>
    </row>
    <row r="123" spans="1:10" ht="18" x14ac:dyDescent="0.2">
      <c r="A123" s="2" t="s">
        <v>282</v>
      </c>
      <c r="B123" s="4">
        <v>4236</v>
      </c>
      <c r="C123" s="5">
        <v>0.39100000000000001</v>
      </c>
      <c r="D123" s="4">
        <v>6580</v>
      </c>
      <c r="E123" s="5">
        <v>0.60729999999999995</v>
      </c>
      <c r="F123" s="6">
        <v>18</v>
      </c>
      <c r="G123" s="7">
        <v>1.6999999999999999E-3</v>
      </c>
      <c r="H123" s="4">
        <v>2344</v>
      </c>
      <c r="I123" s="5">
        <v>0.21640000000000001</v>
      </c>
      <c r="J123" s="4">
        <v>10834</v>
      </c>
    </row>
    <row r="124" spans="1:10" ht="18" x14ac:dyDescent="0.2">
      <c r="A124" s="2" t="s">
        <v>283</v>
      </c>
      <c r="B124" s="4">
        <v>15935</v>
      </c>
      <c r="C124" s="5">
        <v>0.38200000000000001</v>
      </c>
      <c r="D124" s="4">
        <v>25696</v>
      </c>
      <c r="E124" s="5">
        <v>0.61599999999999999</v>
      </c>
      <c r="F124" s="6">
        <v>80</v>
      </c>
      <c r="G124" s="7">
        <v>1.9E-3</v>
      </c>
      <c r="H124" s="4">
        <v>9761</v>
      </c>
      <c r="I124" s="5">
        <v>0.23400000000000001</v>
      </c>
      <c r="J124" s="4">
        <v>41711</v>
      </c>
    </row>
    <row r="125" spans="1:10" ht="18" x14ac:dyDescent="0.2">
      <c r="A125" s="2" t="s">
        <v>284</v>
      </c>
      <c r="B125" s="4">
        <v>1707</v>
      </c>
      <c r="C125" s="5">
        <v>0.4763</v>
      </c>
      <c r="D125" s="4">
        <v>1873</v>
      </c>
      <c r="E125" s="5">
        <v>0.52259999999999995</v>
      </c>
      <c r="F125" s="6">
        <v>4</v>
      </c>
      <c r="G125" s="7">
        <v>1.1000000000000001E-3</v>
      </c>
      <c r="H125" s="8">
        <v>166</v>
      </c>
      <c r="I125" s="5">
        <v>4.6300000000000001E-2</v>
      </c>
      <c r="J125" s="4">
        <v>3584</v>
      </c>
    </row>
    <row r="126" spans="1:10" ht="18" x14ac:dyDescent="0.2">
      <c r="A126" s="2" t="s">
        <v>285</v>
      </c>
      <c r="B126" s="4">
        <v>1802</v>
      </c>
      <c r="C126" s="5">
        <v>0.46910000000000002</v>
      </c>
      <c r="D126" s="4">
        <v>2035</v>
      </c>
      <c r="E126" s="5">
        <v>0.52980000000000005</v>
      </c>
      <c r="F126" s="6">
        <v>4</v>
      </c>
      <c r="G126" s="7">
        <v>1E-3</v>
      </c>
      <c r="H126" s="8">
        <v>233</v>
      </c>
      <c r="I126" s="5">
        <v>6.0699999999999997E-2</v>
      </c>
      <c r="J126" s="4">
        <v>3841</v>
      </c>
    </row>
    <row r="127" spans="1:10" ht="18" x14ac:dyDescent="0.2">
      <c r="A127" s="2" t="s">
        <v>286</v>
      </c>
      <c r="B127" s="4">
        <v>10407</v>
      </c>
      <c r="C127" s="5">
        <v>0.82099999999999995</v>
      </c>
      <c r="D127" s="4">
        <v>2248</v>
      </c>
      <c r="E127" s="5">
        <v>0.17730000000000001</v>
      </c>
      <c r="F127" s="6">
        <v>21</v>
      </c>
      <c r="G127" s="7">
        <v>1.6999999999999999E-3</v>
      </c>
      <c r="H127" s="8" t="s">
        <v>287</v>
      </c>
      <c r="I127" s="8" t="s">
        <v>288</v>
      </c>
      <c r="J127" s="4">
        <v>12676</v>
      </c>
    </row>
    <row r="128" spans="1:10" ht="18" x14ac:dyDescent="0.2">
      <c r="A128" s="2" t="s">
        <v>289</v>
      </c>
      <c r="B128" s="4">
        <v>75013</v>
      </c>
      <c r="C128" s="5">
        <v>0.44219999999999998</v>
      </c>
      <c r="D128" s="4">
        <v>94339</v>
      </c>
      <c r="E128" s="5">
        <v>0.55620000000000003</v>
      </c>
      <c r="F128" s="6">
        <v>269</v>
      </c>
      <c r="G128" s="7">
        <v>1.6000000000000001E-3</v>
      </c>
      <c r="H128" s="4">
        <v>19326</v>
      </c>
      <c r="I128" s="5">
        <v>0.1139</v>
      </c>
      <c r="J128" s="4">
        <v>169621</v>
      </c>
    </row>
    <row r="129" spans="1:10" ht="18" x14ac:dyDescent="0.2">
      <c r="A129" s="2" t="s">
        <v>290</v>
      </c>
      <c r="B129" s="4">
        <v>10433</v>
      </c>
      <c r="C129" s="5">
        <v>0.64290000000000003</v>
      </c>
      <c r="D129" s="4">
        <v>5757</v>
      </c>
      <c r="E129" s="5">
        <v>0.35470000000000002</v>
      </c>
      <c r="F129" s="6">
        <v>39</v>
      </c>
      <c r="G129" s="7">
        <v>2.3999999999999998E-3</v>
      </c>
      <c r="H129" s="8" t="s">
        <v>291</v>
      </c>
      <c r="I129" s="8" t="s">
        <v>292</v>
      </c>
      <c r="J129" s="4">
        <v>16229</v>
      </c>
    </row>
    <row r="130" spans="1:10" ht="18" x14ac:dyDescent="0.2">
      <c r="A130" s="2" t="s">
        <v>293</v>
      </c>
      <c r="B130" s="4">
        <v>15614</v>
      </c>
      <c r="C130" s="5">
        <v>0.74209999999999998</v>
      </c>
      <c r="D130" s="4">
        <v>5382</v>
      </c>
      <c r="E130" s="5">
        <v>0.25580000000000003</v>
      </c>
      <c r="F130" s="6">
        <v>43</v>
      </c>
      <c r="G130" s="7">
        <v>2E-3</v>
      </c>
      <c r="H130" s="8" t="s">
        <v>294</v>
      </c>
      <c r="I130" s="8" t="s">
        <v>295</v>
      </c>
      <c r="J130" s="4">
        <v>21039</v>
      </c>
    </row>
    <row r="131" spans="1:10" ht="18" x14ac:dyDescent="0.2">
      <c r="A131" s="2" t="s">
        <v>296</v>
      </c>
      <c r="B131" s="4">
        <v>4037</v>
      </c>
      <c r="C131" s="5">
        <v>0.47460000000000002</v>
      </c>
      <c r="D131" s="4">
        <v>4459</v>
      </c>
      <c r="E131" s="5">
        <v>0.5242</v>
      </c>
      <c r="F131" s="6">
        <v>11</v>
      </c>
      <c r="G131" s="7">
        <v>1.2999999999999999E-3</v>
      </c>
      <c r="H131" s="8">
        <v>422</v>
      </c>
      <c r="I131" s="5">
        <v>4.9599999999999998E-2</v>
      </c>
      <c r="J131" s="4">
        <v>8507</v>
      </c>
    </row>
    <row r="132" spans="1:10" ht="18" x14ac:dyDescent="0.2">
      <c r="A132" s="2" t="s">
        <v>297</v>
      </c>
      <c r="B132" s="4">
        <v>4396</v>
      </c>
      <c r="C132" s="5">
        <v>0.54020000000000001</v>
      </c>
      <c r="D132" s="4">
        <v>3733</v>
      </c>
      <c r="E132" s="5">
        <v>0.45879999999999999</v>
      </c>
      <c r="F132" s="6">
        <v>8</v>
      </c>
      <c r="G132" s="7">
        <v>1E-3</v>
      </c>
      <c r="H132" s="8" t="s">
        <v>298</v>
      </c>
      <c r="I132" s="8" t="s">
        <v>299</v>
      </c>
      <c r="J132" s="4">
        <v>8137</v>
      </c>
    </row>
    <row r="133" spans="1:10" ht="18" x14ac:dyDescent="0.2">
      <c r="A133" s="2" t="s">
        <v>300</v>
      </c>
      <c r="B133" s="4">
        <v>1647</v>
      </c>
      <c r="C133" s="5">
        <v>0.24510000000000001</v>
      </c>
      <c r="D133" s="4">
        <v>5063</v>
      </c>
      <c r="E133" s="5">
        <v>0.75349999999999995</v>
      </c>
      <c r="F133" s="6">
        <v>9</v>
      </c>
      <c r="G133" s="7">
        <v>1.2999999999999999E-3</v>
      </c>
      <c r="H133" s="4">
        <v>3416</v>
      </c>
      <c r="I133" s="5">
        <v>0.50839999999999996</v>
      </c>
      <c r="J133" s="4">
        <v>6719</v>
      </c>
    </row>
    <row r="134" spans="1:10" ht="18" x14ac:dyDescent="0.2">
      <c r="A134" s="2" t="s">
        <v>301</v>
      </c>
      <c r="B134" s="4">
        <v>3485</v>
      </c>
      <c r="C134" s="5">
        <v>0.3952</v>
      </c>
      <c r="D134" s="4">
        <v>5318</v>
      </c>
      <c r="E134" s="5">
        <v>0.60299999999999998</v>
      </c>
      <c r="F134" s="6">
        <v>16</v>
      </c>
      <c r="G134" s="7">
        <v>1.8E-3</v>
      </c>
      <c r="H134" s="4">
        <v>1833</v>
      </c>
      <c r="I134" s="5">
        <v>0.20780000000000001</v>
      </c>
      <c r="J134" s="4">
        <v>8819</v>
      </c>
    </row>
    <row r="135" spans="1:10" ht="18" x14ac:dyDescent="0.2">
      <c r="A135" s="2" t="s">
        <v>302</v>
      </c>
      <c r="B135" s="4">
        <v>8744</v>
      </c>
      <c r="C135" s="5">
        <v>0.79149999999999998</v>
      </c>
      <c r="D135" s="4">
        <v>2281</v>
      </c>
      <c r="E135" s="5">
        <v>0.20649999999999999</v>
      </c>
      <c r="F135" s="6">
        <v>22</v>
      </c>
      <c r="G135" s="7">
        <v>2E-3</v>
      </c>
      <c r="H135" s="8" t="s">
        <v>303</v>
      </c>
      <c r="I135" s="8" t="s">
        <v>304</v>
      </c>
      <c r="J135" s="4">
        <v>11047</v>
      </c>
    </row>
    <row r="136" spans="1:10" ht="18" x14ac:dyDescent="0.2">
      <c r="A136" s="2" t="s">
        <v>305</v>
      </c>
      <c r="B136" s="4">
        <v>8426</v>
      </c>
      <c r="C136" s="5">
        <v>0.76290000000000002</v>
      </c>
      <c r="D136" s="4">
        <v>2594</v>
      </c>
      <c r="E136" s="5">
        <v>0.2349</v>
      </c>
      <c r="F136" s="6">
        <v>24</v>
      </c>
      <c r="G136" s="7">
        <v>2.2000000000000001E-3</v>
      </c>
      <c r="H136" s="8" t="s">
        <v>306</v>
      </c>
      <c r="I136" s="8" t="s">
        <v>307</v>
      </c>
      <c r="J136" s="4">
        <v>11044</v>
      </c>
    </row>
    <row r="137" spans="1:10" ht="18" x14ac:dyDescent="0.2">
      <c r="A137" s="2" t="s">
        <v>308</v>
      </c>
      <c r="B137" s="4">
        <v>15684</v>
      </c>
      <c r="C137" s="5">
        <v>0.49790000000000001</v>
      </c>
      <c r="D137" s="4">
        <v>15769</v>
      </c>
      <c r="E137" s="5">
        <v>0.50060000000000004</v>
      </c>
      <c r="F137" s="6">
        <v>47</v>
      </c>
      <c r="G137" s="7">
        <v>1.5E-3</v>
      </c>
      <c r="H137" s="8">
        <v>85</v>
      </c>
      <c r="I137" s="5">
        <v>2.7000000000000001E-3</v>
      </c>
      <c r="J137" s="4">
        <v>31500</v>
      </c>
    </row>
    <row r="138" spans="1:10" ht="18" x14ac:dyDescent="0.2">
      <c r="A138" s="1" t="s">
        <v>309</v>
      </c>
      <c r="B138" s="10">
        <v>1449586</v>
      </c>
      <c r="C138" s="11">
        <v>0.42220000000000002</v>
      </c>
      <c r="D138" s="10">
        <v>1976857</v>
      </c>
      <c r="E138" s="11">
        <v>0.57579999999999998</v>
      </c>
      <c r="F138" s="10">
        <v>6897</v>
      </c>
      <c r="G138" s="11">
        <v>2E-3</v>
      </c>
      <c r="H138" s="10">
        <v>527270</v>
      </c>
      <c r="I138" s="11">
        <v>0.15359999999999999</v>
      </c>
      <c r="J138" s="10">
        <v>3433338</v>
      </c>
    </row>
  </sheetData>
  <mergeCells count="3">
    <mergeCell ref="A2:A3"/>
    <mergeCell ref="H3:H4"/>
    <mergeCell ref="J3:J4"/>
  </mergeCells>
  <hyperlinks>
    <hyperlink ref="A5" r:id="rId1" tooltip="Accomack County, Virginia" display="https://en.wikipedia.org/wiki/Accomack_County,_Virginia" xr:uid="{7DE97415-4B44-F044-A0DD-62F5DF2A7508}"/>
    <hyperlink ref="A6" r:id="rId2" tooltip="Albemarle County, Virginia" display="https://en.wikipedia.org/wiki/Albemarle_County,_Virginia" xr:uid="{89FA1324-885D-C34D-ADD3-200AD9C04E22}"/>
    <hyperlink ref="A7" r:id="rId3" tooltip="Alexandria, Virginia" display="https://en.wikipedia.org/wiki/Alexandria,_Virginia" xr:uid="{C24BD487-DB34-124F-952D-988217009992}"/>
    <hyperlink ref="A8" r:id="rId4" tooltip="Alleghany County, Virginia" display="https://en.wikipedia.org/wiki/Alleghany_County,_Virginia" xr:uid="{84C7C2A9-C9CE-FF44-97EC-5BFBD41D8A02}"/>
    <hyperlink ref="A9" r:id="rId5" tooltip="Amelia County, Virginia" display="https://en.wikipedia.org/wiki/Amelia_County,_Virginia" xr:uid="{313CFA0B-AC61-FD43-BECE-BA973EE1E626}"/>
    <hyperlink ref="A10" r:id="rId6" tooltip="Amherst County, Virginia" display="https://en.wikipedia.org/wiki/Amherst_County,_Virginia" xr:uid="{6481D46C-49F8-294C-A461-A045ACF442C1}"/>
    <hyperlink ref="A11" r:id="rId7" tooltip="Appomattox County, Virginia" display="https://en.wikipedia.org/wiki/Appomattox_County,_Virginia" xr:uid="{070C0C1A-51F5-0040-A4A5-7EBEDCFE60DE}"/>
    <hyperlink ref="A12" r:id="rId8" tooltip="Arlington County, Virginia" display="https://en.wikipedia.org/wiki/Arlington_County,_Virginia" xr:uid="{B6B6CF94-9DD7-544B-B935-21CEDC108832}"/>
    <hyperlink ref="A13" r:id="rId9" tooltip="Augusta County, Virginia" display="https://en.wikipedia.org/wiki/Augusta_County,_Virginia" xr:uid="{A79C45B5-4DA6-A54E-9965-065EDEA98901}"/>
    <hyperlink ref="A14" r:id="rId10" tooltip="Bath County, Virginia" display="https://en.wikipedia.org/wiki/Bath_County,_Virginia" xr:uid="{6BF18869-A970-394E-8E64-8D72D363E242}"/>
    <hyperlink ref="A15" r:id="rId11" tooltip="Bedford County, Virginia" display="https://en.wikipedia.org/wiki/Bedford_County,_Virginia" xr:uid="{942E36E5-647F-BC4D-A937-A1E86C4F296F}"/>
    <hyperlink ref="A16" r:id="rId12" tooltip="Bland County, Virginia" display="https://en.wikipedia.org/wiki/Bland_County,_Virginia" xr:uid="{4C3C9CE5-1C11-6B4E-8FA4-D0D72B922676}"/>
    <hyperlink ref="A17" r:id="rId13" tooltip="Botetourt County, Virginia" display="https://en.wikipedia.org/wiki/Botetourt_County,_Virginia" xr:uid="{9B1107EC-A4F1-9344-8808-D5E8362A20CB}"/>
    <hyperlink ref="A18" r:id="rId14" tooltip="Bristol, Virginia" display="https://en.wikipedia.org/wiki/Bristol,_Virginia" xr:uid="{DEFB1A35-F2C2-5741-A5A0-CC54CFC0F08E}"/>
    <hyperlink ref="A19" r:id="rId15" tooltip="Brunswick County, Virginia" display="https://en.wikipedia.org/wiki/Brunswick_County,_Virginia" xr:uid="{1151D312-653F-EA4A-8605-FB1C2086D4FE}"/>
    <hyperlink ref="A20" r:id="rId16" tooltip="Buchanan County, Virginia" display="https://en.wikipedia.org/wiki/Buchanan_County,_Virginia" xr:uid="{D05316A2-90A5-EA43-8008-1D44688A9556}"/>
    <hyperlink ref="A21" r:id="rId17" tooltip="Buckingham County, Virginia" display="https://en.wikipedia.org/wiki/Buckingham_County,_Virginia" xr:uid="{DB5DADBE-44A7-1247-A321-69668F1AEF93}"/>
    <hyperlink ref="A22" r:id="rId18" tooltip="Buena Vista, Virginia" display="https://en.wikipedia.org/wiki/Buena_Vista,_Virginia" xr:uid="{2036477C-BDAC-284D-8DA1-633F9BDA964E}"/>
    <hyperlink ref="A23" r:id="rId19" tooltip="Campbell County, Virginia" display="https://en.wikipedia.org/wiki/Campbell_County,_Virginia" xr:uid="{C54283A0-1855-BC4F-895B-A418B2BB316B}"/>
    <hyperlink ref="A24" r:id="rId20" tooltip="Caroline County, Virginia" display="https://en.wikipedia.org/wiki/Caroline_County,_Virginia" xr:uid="{50936496-C8E1-3F4A-ACC6-5696FE30C740}"/>
    <hyperlink ref="A25" r:id="rId21" tooltip="Carroll County, Virginia" display="https://en.wikipedia.org/wiki/Carroll_County,_Virginia" xr:uid="{5BEF38AD-E730-D440-A092-197AB1BEF724}"/>
    <hyperlink ref="A26" r:id="rId22" tooltip="Charles City County, Virginia" display="https://en.wikipedia.org/wiki/Charles_City_County,_Virginia" xr:uid="{81349593-EB5E-5F4E-A008-0DE08C321D82}"/>
    <hyperlink ref="A27" r:id="rId23" tooltip="Charlotte County, Virginia" display="https://en.wikipedia.org/wiki/Charlotte_County,_Virginia" xr:uid="{72DD1285-63DD-2643-975F-E74A57ACE62A}"/>
    <hyperlink ref="A28" r:id="rId24" tooltip="Charlottesville, Virginia" display="https://en.wikipedia.org/wiki/Charlottesville,_Virginia" xr:uid="{A0101968-956C-2A4A-A45D-49A63AA416B4}"/>
    <hyperlink ref="A29" r:id="rId25" tooltip="Chesapeake, Virginia" display="https://en.wikipedia.org/wiki/Chesapeake,_Virginia" xr:uid="{B2B4035A-4A6E-E24E-9740-7BCE048195AD}"/>
    <hyperlink ref="A30" r:id="rId26" tooltip="Chesterfield County, Virginia" display="https://en.wikipedia.org/wiki/Chesterfield_County,_Virginia" xr:uid="{B1E91549-17C6-2446-8D2F-1BBF809BC739}"/>
    <hyperlink ref="A31" r:id="rId27" tooltip="Clarke County, Virginia" display="https://en.wikipedia.org/wiki/Clarke_County,_Virginia" xr:uid="{663C742D-5AF2-0D4F-AEFC-110B05631376}"/>
    <hyperlink ref="A32" r:id="rId28" tooltip="Colonial Heights, Virginia" display="https://en.wikipedia.org/wiki/Colonial_Heights,_Virginia" xr:uid="{4EB91AA4-DECA-E84C-9C40-3A31F3EC9BEC}"/>
    <hyperlink ref="A33" r:id="rId29" tooltip="Covington, Virginia" display="https://en.wikipedia.org/wiki/Covington,_Virginia" xr:uid="{CEBA6076-C384-5148-8D2B-3AA66AE1FD2D}"/>
    <hyperlink ref="A34" r:id="rId30" tooltip="Craig County, Virginia" display="https://en.wikipedia.org/wiki/Craig_County,_Virginia" xr:uid="{B797B840-94F2-2941-9A0E-5799F8F7F794}"/>
    <hyperlink ref="A35" r:id="rId31" tooltip="Culpeper County, Virginia" display="https://en.wikipedia.org/wiki/Culpeper_County,_Virginia" xr:uid="{3A183906-9899-F34A-BC80-2B1B3648858C}"/>
    <hyperlink ref="A36" r:id="rId32" tooltip="Cumberland County, Virginia" display="https://en.wikipedia.org/wiki/Cumberland_County,_Virginia" xr:uid="{E0EF944D-D797-7A4B-B5B2-C200081300F1}"/>
    <hyperlink ref="A37" r:id="rId33" tooltip="Danville, Virginia" display="https://en.wikipedia.org/wiki/Danville,_Virginia" xr:uid="{607ABDA2-8AA1-2B4E-8D7E-12F4D3840DE1}"/>
    <hyperlink ref="A38" r:id="rId34" tooltip="Dickenson County, Virginia" display="https://en.wikipedia.org/wiki/Dickenson_County,_Virginia" xr:uid="{D287B35A-E453-2A4A-BABE-73678AC9FA7B}"/>
    <hyperlink ref="A39" r:id="rId35" tooltip="Dinwiddie County, Virginia" display="https://en.wikipedia.org/wiki/Dinwiddie_County,_Virginia" xr:uid="{02C4F526-D3C7-AA42-97CF-A9455B4012F7}"/>
    <hyperlink ref="A40" r:id="rId36" tooltip="Emporia, Virginia" display="https://en.wikipedia.org/wiki/Emporia,_Virginia" xr:uid="{33D8E1F6-127E-BB41-B439-89D9785CE60C}"/>
    <hyperlink ref="A41" r:id="rId37" tooltip="Essex County, Virginia" display="https://en.wikipedia.org/wiki/Essex_County,_Virginia" xr:uid="{5A720F00-9E6C-4143-B93E-93179235EDA0}"/>
    <hyperlink ref="A42" r:id="rId38" tooltip="Fairfax, Virginia" display="https://en.wikipedia.org/wiki/Fairfax,_Virginia" xr:uid="{A562A2B7-C189-7340-813A-85EFEB515A3E}"/>
    <hyperlink ref="A43" r:id="rId39" tooltip="Fairfax County, Virginia" display="https://en.wikipedia.org/wiki/Fairfax_County,_Virginia" xr:uid="{BE25D2D3-C7FE-0D42-9B5F-E80CCCE93D56}"/>
    <hyperlink ref="A44" r:id="rId40" tooltip="Falls Church, Virginia" display="https://en.wikipedia.org/wiki/Falls_Church,_Virginia" xr:uid="{04CA0239-6B70-E245-96FC-A61DC4CABDC5}"/>
    <hyperlink ref="A45" r:id="rId41" tooltip="Fauquier County, Virginia" display="https://en.wikipedia.org/wiki/Fauquier_County,_Virginia" xr:uid="{90F3A04C-46A2-8D4C-B8AE-8EE248E3E07E}"/>
    <hyperlink ref="A46" r:id="rId42" tooltip="Floyd County, Virginia" display="https://en.wikipedia.org/wiki/Floyd_County,_Virginia" xr:uid="{A44C4C6F-66D3-4545-ADD7-836CE62DFACB}"/>
    <hyperlink ref="A47" r:id="rId43" tooltip="Fluvanna County, Virginia" display="https://en.wikipedia.org/wiki/Fluvanna_County,_Virginia" xr:uid="{0BBDF7B1-7A67-4340-A075-E6246138A27C}"/>
    <hyperlink ref="A48" r:id="rId44" tooltip="Franklin, Virginia" display="https://en.wikipedia.org/wiki/Franklin,_Virginia" xr:uid="{BF6A3495-13AB-6941-A801-0A45505D352B}"/>
    <hyperlink ref="A49" r:id="rId45" tooltip="Franklin County, Virginia" display="https://en.wikipedia.org/wiki/Franklin_County,_Virginia" xr:uid="{034BC6A6-977B-3D46-8D6E-2E448E8DF5A8}"/>
    <hyperlink ref="A50" r:id="rId46" tooltip="Frederick County, Virginia" display="https://en.wikipedia.org/wiki/Frederick_County,_Virginia" xr:uid="{76B40CB0-501B-D84A-A8B7-DB60B808EE57}"/>
    <hyperlink ref="A51" r:id="rId47" tooltip="Fredericksburg, Virginia" display="https://en.wikipedia.org/wiki/Fredericksburg,_Virginia" xr:uid="{B0948CDE-7C79-9647-A997-87FF5930F94F}"/>
    <hyperlink ref="A52" r:id="rId48" tooltip="Galax, Virginia" display="https://en.wikipedia.org/wiki/Galax,_Virginia" xr:uid="{89C2F229-71B3-D440-B014-376C29BD436E}"/>
    <hyperlink ref="A53" r:id="rId49" tooltip="Giles County, Virginia" display="https://en.wikipedia.org/wiki/Giles_County,_Virginia" xr:uid="{2339261C-041A-9D4C-BCE8-C27E9FFA2E80}"/>
    <hyperlink ref="A54" r:id="rId50" tooltip="Gloucester County, Virginia" display="https://en.wikipedia.org/wiki/Gloucester_County,_Virginia" xr:uid="{8621B48C-378E-FC40-9266-B99F88555D97}"/>
    <hyperlink ref="A55" r:id="rId51" tooltip="Goochland County, Virginia" display="https://en.wikipedia.org/wiki/Goochland_County,_Virginia" xr:uid="{A01FEDAD-D929-764F-BA18-726B8959C272}"/>
    <hyperlink ref="A56" r:id="rId52" tooltip="Grayson County, Virginia" display="https://en.wikipedia.org/wiki/Grayson_County,_Virginia" xr:uid="{41A94D80-FEBB-5C4D-B8D9-EC1E46C8B32E}"/>
    <hyperlink ref="A57" r:id="rId53" tooltip="Greene County, Virginia" display="https://en.wikipedia.org/wiki/Greene_County,_Virginia" xr:uid="{C113AB2A-2FC6-3540-A11D-CABB67308417}"/>
    <hyperlink ref="A58" r:id="rId54" tooltip="Greensville County, Virginia" display="https://en.wikipedia.org/wiki/Greensville_County,_Virginia" xr:uid="{163A26DB-C9F0-3142-9C6E-D3E7905090AE}"/>
    <hyperlink ref="A59" r:id="rId55" tooltip="Halifax County, Virginia" display="https://en.wikipedia.org/wiki/Halifax_County,_Virginia" xr:uid="{4351A1B4-46DF-3441-9DD0-FCC3557267DF}"/>
    <hyperlink ref="A60" r:id="rId56" tooltip="Hampton, Virginia" display="https://en.wikipedia.org/wiki/Hampton,_Virginia" xr:uid="{D1E0B1B3-6383-D345-8B4D-B17E95FA6C17}"/>
    <hyperlink ref="A61" r:id="rId57" tooltip="Hanover County, Virginia" display="https://en.wikipedia.org/wiki/Hanover_County,_Virginia" xr:uid="{A3877015-20D0-6A4E-8DD4-67E2FF64FA52}"/>
    <hyperlink ref="A62" r:id="rId58" tooltip="Harrisonburg, Virginia" display="https://en.wikipedia.org/wiki/Harrisonburg,_Virginia" xr:uid="{A88B4796-352D-8243-958F-6CE87A6F53AA}"/>
    <hyperlink ref="A63" r:id="rId59" tooltip="Henrico County, Virginia" display="https://en.wikipedia.org/wiki/Henrico_County,_Virginia" xr:uid="{94E69146-5EA5-8A48-B679-3D54AF7ECDA5}"/>
    <hyperlink ref="A64" r:id="rId60" tooltip="Henry County, Virginia" display="https://en.wikipedia.org/wiki/Henry_County,_Virginia" xr:uid="{EF5FDDC8-FF30-384B-B905-FB51C0A618F8}"/>
    <hyperlink ref="A65" r:id="rId61" tooltip="Highland County, Virginia" display="https://en.wikipedia.org/wiki/Highland_County,_Virginia" xr:uid="{FAAA6627-95D4-7540-B309-3C94023B3CDB}"/>
    <hyperlink ref="A66" r:id="rId62" tooltip="Hopewell, Virginia" display="https://en.wikipedia.org/wiki/Hopewell,_Virginia" xr:uid="{953F63EA-9FDE-6F49-B2ED-E573B2B5A5C9}"/>
    <hyperlink ref="A67" r:id="rId63" tooltip="Isle of Wight County, Virginia" display="https://en.wikipedia.org/wiki/Isle_of_Wight_County,_Virginia" xr:uid="{8D650BBB-5C26-B44D-810E-C81A4E62F67D}"/>
    <hyperlink ref="A68" r:id="rId64" tooltip="James City County, Virginia" display="https://en.wikipedia.org/wiki/James_City_County,_Virginia" xr:uid="{80E9E8F9-6D5A-BC40-9C73-6F9C7882EF3C}"/>
    <hyperlink ref="A69" r:id="rId65" tooltip="King and Queen County, Virginia" display="https://en.wikipedia.org/wiki/King_and_Queen_County,_Virginia" xr:uid="{17F579A9-20EC-2748-8B14-934F4EEBF0CA}"/>
    <hyperlink ref="A70" r:id="rId66" tooltip="King George County, Virginia" display="https://en.wikipedia.org/wiki/King_George_County,_Virginia" xr:uid="{249B484A-4E1A-FF46-9AF6-6FDFCD918B6F}"/>
    <hyperlink ref="A71" r:id="rId67" tooltip="King William County, Virginia" display="https://en.wikipedia.org/wiki/King_William_County,_Virginia" xr:uid="{D7160052-D206-8642-8DB8-75C98B885E81}"/>
    <hyperlink ref="A72" r:id="rId68" tooltip="Lancaster County, Virginia" display="https://en.wikipedia.org/wiki/Lancaster_County,_Virginia" xr:uid="{7B18FD00-2DA9-3145-BF6C-D692389BC661}"/>
    <hyperlink ref="A73" r:id="rId69" tooltip="Lee County, Virginia" display="https://en.wikipedia.org/wiki/Lee_County,_Virginia" xr:uid="{F44A17A6-E0C8-2B44-89B6-9615B9F2484D}"/>
    <hyperlink ref="A74" r:id="rId70" tooltip="Lexington, Virginia" display="https://en.wikipedia.org/wiki/Lexington,_Virginia" xr:uid="{DD086DB4-6ECF-8242-8E75-EDB9C0B191DA}"/>
    <hyperlink ref="A75" r:id="rId71" tooltip="Loudoun County, Virginia" display="https://en.wikipedia.org/wiki/Loudoun_County,_Virginia" xr:uid="{9D2A2BD4-A5F3-9846-AD74-983C28548C8B}"/>
    <hyperlink ref="A76" r:id="rId72" tooltip="Louisa County, Virginia" display="https://en.wikipedia.org/wiki/Louisa_County,_Virginia" xr:uid="{83DDA689-61F2-734C-A250-52D130EDAD31}"/>
    <hyperlink ref="A77" r:id="rId73" tooltip="Lunenburg County, Virginia" display="https://en.wikipedia.org/wiki/Lunenburg_County,_Virginia" xr:uid="{F1E8AED8-0239-3843-83F0-D5CBE89C4BD1}"/>
    <hyperlink ref="A78" r:id="rId74" tooltip="Lynchburg, Virginia" display="https://en.wikipedia.org/wiki/Lynchburg,_Virginia" xr:uid="{88818094-22E4-FB4E-B3DC-96AE9F809962}"/>
    <hyperlink ref="A79" r:id="rId75" tooltip="Madison County, Virginia" display="https://en.wikipedia.org/wiki/Madison_County,_Virginia" xr:uid="{369CC4EC-42C4-844E-801D-E50D7DDB5417}"/>
    <hyperlink ref="A80" r:id="rId76" tooltip="Manassas, Virginia" display="https://en.wikipedia.org/wiki/Manassas,_Virginia" xr:uid="{BAAA69ED-2236-3E47-AAB8-C7EF7638B105}"/>
    <hyperlink ref="A81" r:id="rId77" tooltip="Manassas Park, Virginia" display="https://en.wikipedia.org/wiki/Manassas_Park,_Virginia" xr:uid="{528B6CBC-858B-3548-8A06-50AC25B0B360}"/>
    <hyperlink ref="A82" r:id="rId78" tooltip="Martinsville, Virginia" display="https://en.wikipedia.org/wiki/Martinsville,_Virginia" xr:uid="{80A333CE-9503-E047-BCDF-641105EDA6CC}"/>
    <hyperlink ref="A83" r:id="rId79" tooltip="Mathews County, Virginia" display="https://en.wikipedia.org/wiki/Mathews_County,_Virginia" xr:uid="{BEEB4026-D18D-CE49-A1CF-7978F4D2DFF3}"/>
    <hyperlink ref="A84" r:id="rId80" tooltip="Mecklenburg County, Virginia" display="https://en.wikipedia.org/wiki/Mecklenburg_County,_Virginia" xr:uid="{F76448A4-6262-DE4D-A58D-96F6E518B8DA}"/>
    <hyperlink ref="A85" r:id="rId81" tooltip="Middlesex County, Virginia" display="https://en.wikipedia.org/wiki/Middlesex_County,_Virginia" xr:uid="{C134200B-7404-A04A-B8F5-7874573907F2}"/>
    <hyperlink ref="A86" r:id="rId82" tooltip="Montgomery County, Virginia" display="https://en.wikipedia.org/wiki/Montgomery_County,_Virginia" xr:uid="{CB8F3785-8139-0646-B054-A162C60B536F}"/>
    <hyperlink ref="A87" r:id="rId83" tooltip="Nelson County, Virginia" display="https://en.wikipedia.org/wiki/Nelson_County,_Virginia" xr:uid="{5F5BFCDB-08EB-BE41-965C-15625CF65FE0}"/>
    <hyperlink ref="A88" r:id="rId84" tooltip="New Kent County, Virginia" display="https://en.wikipedia.org/wiki/New_Kent_County,_Virginia" xr:uid="{F44ADBE0-88A0-8B42-836B-D21370CDDD98}"/>
    <hyperlink ref="A89" r:id="rId85" tooltip="Newport News, Virginia" display="https://en.wikipedia.org/wiki/Newport_News,_Virginia" xr:uid="{A5703EA6-5029-A840-867B-BF8745A21F03}"/>
    <hyperlink ref="A90" r:id="rId86" tooltip="Norfolk, Virginia" display="https://en.wikipedia.org/wiki/Norfolk,_Virginia" xr:uid="{63AF2C4A-A914-7A4C-A752-DBD689673A44}"/>
    <hyperlink ref="A91" r:id="rId87" tooltip="Northampton County, Virginia" display="https://en.wikipedia.org/wiki/Northampton_County,_Virginia" xr:uid="{DE65BB6C-DB96-724B-BB70-BDC45B1006FC}"/>
    <hyperlink ref="A92" r:id="rId88" tooltip="Northumberland County, Virginia" display="https://en.wikipedia.org/wiki/Northumberland_County,_Virginia" xr:uid="{5C8E7963-B971-1C45-A961-ECC322092E66}"/>
    <hyperlink ref="A93" r:id="rId89" tooltip="Norton, Virginia" display="https://en.wikipedia.org/wiki/Norton,_Virginia" xr:uid="{88AD58E5-2181-9C41-BF1F-87D90F801C7C}"/>
    <hyperlink ref="A94" r:id="rId90" tooltip="Nottoway County, Virginia" display="https://en.wikipedia.org/wiki/Nottoway_County,_Virginia" xr:uid="{DEEBC9D5-60A6-9A49-A158-D82D5B0BED92}"/>
    <hyperlink ref="A95" r:id="rId91" tooltip="Orange County, Virginia" display="https://en.wikipedia.org/wiki/Orange_County,_Virginia" xr:uid="{DA5AD468-E858-6744-94AB-CBDD3AC0867C}"/>
    <hyperlink ref="A96" r:id="rId92" tooltip="Page County, Virginia" display="https://en.wikipedia.org/wiki/Page_County,_Virginia" xr:uid="{19AE5A09-0A6B-B043-AA48-53C052653AD5}"/>
    <hyperlink ref="A97" r:id="rId93" tooltip="Patrick County, Virginia" display="https://en.wikipedia.org/wiki/Patrick_County,_Virginia" xr:uid="{EF2A611B-058C-5C45-9A20-7501ABFED3DD}"/>
    <hyperlink ref="A98" r:id="rId94" tooltip="Petersburg, Virginia" display="https://en.wikipedia.org/wiki/Petersburg,_Virginia" xr:uid="{A91B2B1E-C11E-AF40-8369-B71AE5D590B4}"/>
    <hyperlink ref="A99" r:id="rId95" tooltip="Pittsylvania County, Virginia" display="https://en.wikipedia.org/wiki/Pittsylvania_County,_Virginia" xr:uid="{7DB32002-3F3B-CA42-821F-12AA3E1B183B}"/>
    <hyperlink ref="A100" r:id="rId96" tooltip="Poquoson, Virginia" display="https://en.wikipedia.org/wiki/Poquoson,_Virginia" xr:uid="{6EF6975F-5833-884F-BBED-24B8E295AA22}"/>
    <hyperlink ref="A101" r:id="rId97" tooltip="Portsmouth, Virginia" display="https://en.wikipedia.org/wiki/Portsmouth,_Virginia" xr:uid="{C0A483D4-DAAF-FB45-9FB1-1CC98E2C5E68}"/>
    <hyperlink ref="A102" r:id="rId98" tooltip="Powhatan County, Virginia" display="https://en.wikipedia.org/wiki/Powhatan_County,_Virginia" xr:uid="{2FABDAAC-B027-F248-86C3-1D647543347F}"/>
    <hyperlink ref="A103" r:id="rId99" tooltip="Prince Edward County, Virginia" display="https://en.wikipedia.org/wiki/Prince_Edward_County,_Virginia" xr:uid="{EE741266-74DB-1945-85EC-0B770C9F9583}"/>
    <hyperlink ref="A104" r:id="rId100" tooltip="Prince George County, Virginia" display="https://en.wikipedia.org/wiki/Prince_George_County,_Virginia" xr:uid="{90E153B1-4A19-D747-8049-D9E46448E7C8}"/>
    <hyperlink ref="A105" r:id="rId101" tooltip="Prince William County, Virginia" display="https://en.wikipedia.org/wiki/Prince_William_County,_Virginia" xr:uid="{1A1E3157-66E6-3843-B131-87678A123848}"/>
    <hyperlink ref="A106" r:id="rId102" tooltip="Pulaski County, Virginia" display="https://en.wikipedia.org/wiki/Pulaski_County,_Virginia" xr:uid="{23F92F20-CA96-2D4D-96AF-BD23DF1FBE24}"/>
    <hyperlink ref="A107" r:id="rId103" tooltip="Radford, Virginia" display="https://en.wikipedia.org/wiki/Radford,_Virginia" xr:uid="{D1F34989-8ECE-7D44-9C3B-4FB31CE16EA5}"/>
    <hyperlink ref="A108" r:id="rId104" tooltip="Rappahannock County, Virginia" display="https://en.wikipedia.org/wiki/Rappahannock_County,_Virginia" xr:uid="{C138D6EE-5A9A-8F49-8267-0999F0278298}"/>
    <hyperlink ref="A109" r:id="rId105" tooltip="Richmond, Virginia" display="https://en.wikipedia.org/wiki/Richmond,_Virginia" xr:uid="{8ED96D3D-5100-C54A-A015-19CAAC7D9CCF}"/>
    <hyperlink ref="A110" r:id="rId106" tooltip="Richmond County, Virginia" display="https://en.wikipedia.org/wiki/Richmond_County,_Virginia" xr:uid="{AD7BA841-32B5-C245-8F8A-5E7CBD701FFF}"/>
    <hyperlink ref="A111" r:id="rId107" tooltip="Roanoke, Virginia" display="https://en.wikipedia.org/wiki/Roanoke,_Virginia" xr:uid="{EA6ACBD2-A1DA-6B4E-BA7A-465E7A529572}"/>
    <hyperlink ref="A112" r:id="rId108" tooltip="Roanoke County, Virginia" display="https://en.wikipedia.org/wiki/Roanoke_County,_Virginia" xr:uid="{BD4C6347-FC58-7C4D-9243-940EAB792BF3}"/>
    <hyperlink ref="A113" r:id="rId109" tooltip="Rockbridge County, Virginia" display="https://en.wikipedia.org/wiki/Rockbridge_County,_Virginia" xr:uid="{BBEE5B84-49F3-704F-B321-5ADE359B295E}"/>
    <hyperlink ref="A114" r:id="rId110" tooltip="Rockingham County, Virginia" display="https://en.wikipedia.org/wiki/Rockingham_County,_Virginia" xr:uid="{E4CE098C-074E-5546-BF05-4D2C31672787}"/>
    <hyperlink ref="A115" r:id="rId111" tooltip="Russell County, Virginia" display="https://en.wikipedia.org/wiki/Russell_County,_Virginia" xr:uid="{6DEA7B66-2886-C14F-8838-3B45EBE997E7}"/>
    <hyperlink ref="A116" r:id="rId112" tooltip="Salem, Virginia" display="https://en.wikipedia.org/wiki/Salem,_Virginia" xr:uid="{BDBD2CEE-5B32-6647-B2FF-CE7CF7F7127D}"/>
    <hyperlink ref="A117" r:id="rId113" tooltip="Scott County, Virginia" display="https://en.wikipedia.org/wiki/Scott_County,_Virginia" xr:uid="{163BFB67-6970-6D44-B3C2-8A56770497BD}"/>
    <hyperlink ref="A118" r:id="rId114" tooltip="Shenandoah County, Virginia" display="https://en.wikipedia.org/wiki/Shenandoah_County,_Virginia" xr:uid="{579D8242-63C6-1046-890A-AE9E3ACB334D}"/>
    <hyperlink ref="A119" r:id="rId115" tooltip="Smyth County, Virginia" display="https://en.wikipedia.org/wiki/Smyth_County,_Virginia" xr:uid="{C95A70BC-39EE-9C49-9E6B-55707814A141}"/>
    <hyperlink ref="A120" r:id="rId116" tooltip="Southampton County, Virginia" display="https://en.wikipedia.org/wiki/Southampton_County,_Virginia" xr:uid="{FC9E00B1-7B0B-034B-85F4-85BD48C7AD88}"/>
    <hyperlink ref="A121" r:id="rId117" tooltip="Spotsylvania County, Virginia" display="https://en.wikipedia.org/wiki/Spotsylvania_County,_Virginia" xr:uid="{33295CE5-ABFF-A646-A404-7D5CF54D634C}"/>
    <hyperlink ref="A122" r:id="rId118" tooltip="Stafford County, Virginia" display="https://en.wikipedia.org/wiki/Stafford_County,_Virginia" xr:uid="{572315DC-6D14-074C-8D84-35483A2FC2C6}"/>
    <hyperlink ref="A123" r:id="rId119" tooltip="Staunton, Virginia" display="https://en.wikipedia.org/wiki/Staunton,_Virginia" xr:uid="{00ABFEB8-DD5A-B549-849F-549F7C36E5FF}"/>
    <hyperlink ref="A124" r:id="rId120" tooltip="Suffolk, Virginia" display="https://en.wikipedia.org/wiki/Suffolk,_Virginia" xr:uid="{FCBD5F3E-E67D-B945-AF9C-DB18F3D8157E}"/>
    <hyperlink ref="A125" r:id="rId121" tooltip="Surry County, Virginia" display="https://en.wikipedia.org/wiki/Surry_County,_Virginia" xr:uid="{ACB6248C-3962-C341-851C-765B0F36BC3D}"/>
    <hyperlink ref="A126" r:id="rId122" tooltip="Sussex County, Virginia" display="https://en.wikipedia.org/wiki/Sussex_County,_Virginia" xr:uid="{991AD1CF-D008-6A45-825C-8882EFE25BDE}"/>
    <hyperlink ref="A127" r:id="rId123" tooltip="Tazewell County, Virginia" display="https://en.wikipedia.org/wiki/Tazewell_County,_Virginia" xr:uid="{C05524C2-EBC4-4840-BD1D-0CA9C9767763}"/>
    <hyperlink ref="A128" r:id="rId124" tooltip="Virginia Beach, Virginia" display="https://en.wikipedia.org/wiki/Virginia_Beach,_Virginia" xr:uid="{F6784116-F129-494A-8292-DC2DC48B4750}"/>
    <hyperlink ref="A129" r:id="rId125" tooltip="Warren County, Virginia" display="https://en.wikipedia.org/wiki/Warren_County,_Virginia" xr:uid="{53ECC711-9F92-534F-8A39-68FB655AC25C}"/>
    <hyperlink ref="A130" r:id="rId126" tooltip="Washington County, Virginia" display="https://en.wikipedia.org/wiki/Washington_County,_Virginia" xr:uid="{7C7AB333-07DD-6F45-ACE0-9C79125657A2}"/>
    <hyperlink ref="A131" r:id="rId127" tooltip="Waynesboro, Virginia" display="https://en.wikipedia.org/wiki/Waynesboro,_Virginia" xr:uid="{C4188273-037F-EC40-9753-1A912B40152B}"/>
    <hyperlink ref="A132" r:id="rId128" tooltip="Westmoreland County, Virginia" display="https://en.wikipedia.org/wiki/Westmoreland_County,_Virginia" xr:uid="{AEBC03DB-0CA3-3B44-91F0-AD8F36700BD7}"/>
    <hyperlink ref="A133" r:id="rId129" tooltip="Williamsburg, Virginia" display="https://en.wikipedia.org/wiki/Williamsburg,_Virginia" xr:uid="{999F9CF1-1D03-2142-9640-16C345A30533}"/>
    <hyperlink ref="A134" r:id="rId130" tooltip="Winchester, Virginia" display="https://en.wikipedia.org/wiki/Winchester,_Virginia" xr:uid="{F039B29E-D0F7-824C-8429-38172A9FEC6C}"/>
    <hyperlink ref="A135" r:id="rId131" tooltip="Wise County, Virginia" display="https://en.wikipedia.org/wiki/Wise_County,_Virginia" xr:uid="{792B18FC-9C54-FE43-9CD7-75D41E89B940}"/>
    <hyperlink ref="A136" r:id="rId132" tooltip="Wythe County, Virginia" display="https://en.wikipedia.org/wiki/Wythe_County,_Virginia" xr:uid="{1E434C98-3523-8442-9965-2D2F227DAE8F}"/>
    <hyperlink ref="A137" r:id="rId133" tooltip="York County, Virginia" display="https://en.wikipedia.org/wiki/York_County,_Virginia" xr:uid="{148453B9-B18E-7746-A62E-64ED9B1D5A28}"/>
    <hyperlink ref="A2" r:id="rId134" location="cite_note-220" display="https://en.wikipedia.org/wiki/2025_Virginia_gubernatorial_election - cite_note-220" xr:uid="{45DAAC90-3E4A-0E41-A192-9C19725FA5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Wikipedia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Raddick</dc:creator>
  <cp:lastModifiedBy>Jordan Raddick</cp:lastModifiedBy>
  <dcterms:created xsi:type="dcterms:W3CDTF">2025-11-18T22:12:06Z</dcterms:created>
  <dcterms:modified xsi:type="dcterms:W3CDTF">2025-11-21T23:04:35Z</dcterms:modified>
</cp:coreProperties>
</file>